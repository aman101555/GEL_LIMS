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xmlns:r="http://schemas.openxmlformats.org/officeDocument/2006/relationships"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7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  <font>
      <name val="Arial"/>
      <family val="2"/>
      <b val="1"/>
      <i val="1"/>
      <sz val="9"/>
    </font>
    <font>
      <name val="Arial"/>
      <b val="1"/>
      <color rgb="0000006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0" fillId="0" borderId="3" applyAlignment="1" applyProtection="1" pivotButton="0" quotePrefix="0" xfId="0">
      <alignment vertical="center"/>
      <protection locked="1" hidden="1"/>
    </xf>
    <xf numFmtId="0" fontId="11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1" fillId="0" borderId="0" applyProtection="1" pivotButton="0" quotePrefix="0" xfId="0"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1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2" fillId="0" borderId="7" applyAlignment="1" applyProtection="1" pivotButton="0" quotePrefix="0" xfId="0">
      <alignment vertical="center"/>
      <protection locked="1" hidden="1"/>
    </xf>
    <xf numFmtId="0" fontId="12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9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3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3" fillId="0" borderId="2" applyAlignment="1" applyProtection="1" pivotButton="0" quotePrefix="0" xfId="0">
      <alignment vertical="center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0" fontId="0" fillId="0" borderId="7" applyAlignment="1" applyProtection="1" pivotButton="0" quotePrefix="0" xfId="0">
      <alignment horizontal="center" vertical="center"/>
      <protection locked="1" hidden="1"/>
    </xf>
    <xf numFmtId="0" fontId="4" fillId="0" borderId="7" applyAlignment="1" applyProtection="1" pivotButton="0" quotePrefix="0" xfId="0">
      <alignment horizontal="center" vertical="center"/>
      <protection locked="1" hidden="1"/>
    </xf>
    <xf numFmtId="0" fontId="4" fillId="0" borderId="15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horizontal="center" vertical="center"/>
      <protection locked="1" hidden="1"/>
    </xf>
    <xf numFmtId="0" fontId="4" fillId="0" borderId="1" applyAlignment="1" applyProtection="1" pivotButton="0" quotePrefix="0" xfId="0">
      <alignment horizontal="center" vertical="center"/>
      <protection locked="1" hidden="1"/>
    </xf>
    <xf numFmtId="0" fontId="4" fillId="0" borderId="16" applyAlignment="1" applyProtection="1" pivotButton="0" quotePrefix="0" xfId="0">
      <alignment horizontal="center" vertical="center"/>
      <protection locked="1" hidden="1"/>
    </xf>
    <xf numFmtId="0" fontId="1" fillId="0" borderId="19" applyAlignment="1" applyProtection="1" pivotButton="0" quotePrefix="0" xfId="0">
      <alignment horizontal="center" vertical="top" wrapText="1"/>
      <protection locked="1" hidden="1"/>
    </xf>
    <xf numFmtId="0" fontId="1" fillId="0" borderId="20" applyAlignment="1" applyProtection="1" pivotButton="0" quotePrefix="0" xfId="0">
      <alignment horizontal="center" vertical="top" wrapText="1"/>
      <protection locked="1" hidden="1"/>
    </xf>
    <xf numFmtId="0" fontId="1" fillId="0" borderId="21" applyAlignment="1" applyProtection="1" pivotButton="0" quotePrefix="0" xfId="0">
      <alignment horizontal="center" vertical="top" wrapText="1"/>
      <protection locked="1" hidden="1"/>
    </xf>
    <xf numFmtId="2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22" applyAlignment="1" applyProtection="1" pivotButton="0" quotePrefix="0" xfId="0">
      <alignment horizontal="center" vertical="top" wrapText="1"/>
      <protection locked="1" hidden="1"/>
    </xf>
    <xf numFmtId="0" fontId="1" fillId="0" borderId="23" applyAlignment="1" applyProtection="1" pivotButton="0" quotePrefix="0" xfId="0">
      <alignment horizontal="center" vertical="top" wrapText="1"/>
      <protection locked="1" hidden="1"/>
    </xf>
    <xf numFmtId="0" fontId="1" fillId="0" borderId="24" applyAlignment="1" applyProtection="1" pivotButton="0" quotePrefix="0" xfId="0">
      <alignment horizontal="center" vertical="top" wrapText="1"/>
      <protection locked="1" hidden="1"/>
    </xf>
    <xf numFmtId="2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  <xf numFmtId="2" fontId="1" fillId="0" borderId="12" applyAlignment="1" applyProtection="1" pivotButton="0" quotePrefix="0" xfId="0">
      <alignment horizontal="center" vertical="center"/>
      <protection locked="1" hidden="1"/>
    </xf>
    <xf numFmtId="0" fontId="15" fillId="0" borderId="0" applyProtection="1" pivotButton="0" quotePrefix="0" xfId="0">
      <protection locked="1" hidden="1"/>
    </xf>
    <xf numFmtId="0" fontId="16" fillId="0" borderId="3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horizontal="center" vertical="center" wrapText="1"/>
      <protection locked="1" hidden="1"/>
    </xf>
    <xf numFmtId="165" fontId="1" fillId="0" borderId="20" applyAlignment="1" applyProtection="1" pivotButton="0" quotePrefix="0" xfId="0">
      <alignment horizontal="center" vertical="center" wrapText="1"/>
      <protection locked="1" hidden="1"/>
    </xf>
    <xf numFmtId="165" fontId="1" fillId="0" borderId="21" applyAlignment="1" applyProtection="1" pivotButton="0" quotePrefix="0" xfId="0">
      <alignment horizontal="center"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horizontal="center" vertical="center" wrapText="1"/>
      <protection locked="1" hidden="1"/>
    </xf>
    <xf numFmtId="165" fontId="1" fillId="0" borderId="26" applyAlignment="1" applyProtection="1" pivotButton="0" quotePrefix="0" xfId="0">
      <alignment horizontal="center" vertical="center" wrapText="1"/>
      <protection locked="1" hidden="1"/>
    </xf>
    <xf numFmtId="165" fontId="1" fillId="0" borderId="27" applyAlignment="1" applyProtection="1" pivotButton="0" quotePrefix="0" xfId="0">
      <alignment horizontal="center"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0" y="53340"/>
          <a:ext cx="2575560" cy="621687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49"/>
  <sheetViews>
    <sheetView tabSelected="1" zoomScale="92" zoomScaleNormal="55" workbookViewId="0">
      <selection activeCell="B3" sqref="B3"/>
    </sheetView>
  </sheetViews>
  <sheetFormatPr baseColWidth="8" defaultRowHeight="13.2"/>
  <cols>
    <col width="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126" t="inlineStr">
        <is>
          <t>PROFORMA INVOICE</t>
        </is>
      </c>
      <c r="B3" s="70" t="n"/>
      <c r="C3" s="70" t="n"/>
      <c r="D3" s="70" t="n"/>
      <c r="E3" s="70" t="n"/>
      <c r="F3" s="70" t="n"/>
      <c r="G3" s="31" t="n"/>
      <c r="H3" s="87" t="inlineStr">
        <is>
          <t>TRN : 100346023300003</t>
        </is>
      </c>
      <c r="I3" s="87" t="n"/>
      <c r="J3" s="87" t="n"/>
      <c r="K3" s="8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88" t="inlineStr">
        <is>
          <t>004/26</t>
        </is>
      </c>
      <c r="J4" s="89" t="n"/>
      <c r="K4" s="90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76" t="inlineStr">
        <is>
          <t>TMZ</t>
        </is>
      </c>
      <c r="B5" s="77" t="n"/>
      <c r="C5" s="77" t="n"/>
      <c r="D5" s="77" t="n"/>
      <c r="E5" s="78" t="n"/>
      <c r="F5" s="93" t="inlineStr">
        <is>
          <t xml:space="preserve">DATE  </t>
        </is>
      </c>
      <c r="G5" s="52" t="n"/>
      <c r="H5" s="53" t="n"/>
      <c r="I5" s="91" t="inlineStr">
        <is>
          <t>06-Feb-2026</t>
        </is>
      </c>
      <c r="J5" s="92" t="n"/>
      <c r="K5" s="92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4" t="n"/>
      <c r="D6" s="84" t="n"/>
      <c r="E6" s="84" t="n"/>
      <c r="F6" s="98" t="inlineStr">
        <is>
          <t>GSL Ref. &amp; Date</t>
        </is>
      </c>
      <c r="G6" s="98" t="n"/>
      <c r="H6" s="98" t="n"/>
      <c r="I6" s="94" t="inlineStr">
        <is>
          <t>12-Dec-2026</t>
        </is>
      </c>
      <c r="J6" s="92" t="n"/>
      <c r="K6" s="92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4" t="n"/>
      <c r="D7" s="84" t="n"/>
      <c r="E7" s="84" t="n"/>
      <c r="F7" s="97" t="inlineStr">
        <is>
          <t>Customer Ref. No.</t>
        </is>
      </c>
      <c r="G7" s="97" t="n"/>
      <c r="H7" s="97" t="n"/>
      <c r="I7" s="95" t="n"/>
      <c r="J7" s="61" t="n"/>
      <c r="K7" s="96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4" t="n"/>
      <c r="D8" s="37" t="n"/>
      <c r="E8" s="99" t="inlineStr">
        <is>
          <t xml:space="preserve">Payment terms / Due Date </t>
        </is>
      </c>
      <c r="F8" s="100" t="n"/>
      <c r="G8" s="100" t="n"/>
      <c r="H8" s="101" t="n"/>
      <c r="I8" s="102" t="inlineStr">
        <is>
          <t>PROFORMA / Immediate</t>
        </is>
      </c>
      <c r="J8" s="92" t="n"/>
      <c r="K8" s="92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1" t="n"/>
      <c r="J9" s="62" t="n"/>
      <c r="K9" s="63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03" t="n"/>
      <c r="C10" s="103" t="inlineStr">
        <is>
          <t>Arjun</t>
        </is>
      </c>
      <c r="D10" s="84" t="n"/>
      <c r="E10" s="84" t="n"/>
      <c r="F10" s="84" t="n"/>
      <c r="G10" s="84" t="n"/>
      <c r="H10" s="84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4" t="n"/>
      <c r="C11" s="42" t="n"/>
      <c r="D11" s="7" t="n"/>
      <c r="E11" s="7" t="n"/>
      <c r="F11" s="7" t="n"/>
      <c r="G11" s="7" t="n"/>
      <c r="H11" s="7" t="n"/>
      <c r="I11" s="84" t="n"/>
      <c r="J11" s="84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4" t="n"/>
      <c r="C12" s="42" t="n"/>
      <c r="D12" s="81" t="n"/>
      <c r="E12" s="81" t="n"/>
      <c r="F12" s="81" t="n"/>
      <c r="G12" s="81" t="n"/>
      <c r="H12" s="81" t="n"/>
      <c r="I12" s="84" t="n"/>
      <c r="J12" s="84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4" t="n"/>
      <c r="C13" s="67" t="inlineStr">
        <is>
          <t>LP/16732/26/DXB</t>
        </is>
      </c>
      <c r="D13" s="68" t="n"/>
      <c r="E13" s="68" t="n"/>
      <c r="F13" s="68" t="n"/>
      <c r="G13" s="68" t="n"/>
      <c r="H13" s="68" t="n"/>
      <c r="I13" s="68" t="n"/>
      <c r="J13" s="68" t="n"/>
      <c r="K13" s="69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4" t="n"/>
      <c r="C14" s="79" t="inlineStr">
        <is>
          <t>Dubai</t>
        </is>
      </c>
      <c r="D14" s="81" t="n"/>
      <c r="E14" s="81" t="n"/>
      <c r="F14" s="81" t="n"/>
      <c r="G14" s="81" t="n"/>
      <c r="H14" s="81" t="n"/>
      <c r="I14" s="84" t="n"/>
      <c r="J14" s="84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79" t="inlineStr">
        <is>
          <t xml:space="preserve">material tests 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4" t="inlineStr">
        <is>
          <t>Report / D.N. No.</t>
        </is>
      </c>
      <c r="B16" s="71" t="inlineStr">
        <is>
          <t>Report / D.N.</t>
        </is>
      </c>
      <c r="C16" s="74" t="inlineStr">
        <is>
          <t>Project Ref. / L.P.O.</t>
        </is>
      </c>
      <c r="D16" s="71" t="inlineStr">
        <is>
          <t>PARTICULARS</t>
        </is>
      </c>
      <c r="E16" s="104" t="n"/>
      <c r="F16" s="104" t="n"/>
      <c r="G16" s="104" t="n"/>
      <c r="H16" s="105" t="n"/>
      <c r="I16" s="72" t="inlineStr">
        <is>
          <t>QTY</t>
        </is>
      </c>
      <c r="J16" s="72" t="inlineStr">
        <is>
          <t>RATE</t>
        </is>
      </c>
      <c r="K16" s="72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5" t="n"/>
      <c r="B17" s="73" t="inlineStr">
        <is>
          <t>Date</t>
        </is>
      </c>
      <c r="C17" s="75" t="n"/>
      <c r="D17" s="106" t="n"/>
      <c r="E17" s="107" t="n"/>
      <c r="F17" s="107" t="n"/>
      <c r="G17" s="107" t="n"/>
      <c r="H17" s="108" t="n"/>
      <c r="I17" s="73" t="n"/>
      <c r="J17" s="73" t="n"/>
      <c r="K17" s="73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GR - 060226 - 001</t>
        </is>
      </c>
      <c r="B18" s="127" t="inlineStr">
        <is>
          <t>06-Feb-2026</t>
        </is>
      </c>
      <c r="C18" s="21" t="inlineStr">
        <is>
          <t>12393JSDN</t>
        </is>
      </c>
      <c r="D18" s="109" t="inlineStr">
        <is>
          <t>Mobilization &amp; Demobilization</t>
        </is>
      </c>
      <c r="E18" s="110" t="inlineStr">
        <is>
          <t xml:space="preserve"> - </t>
        </is>
      </c>
      <c r="F18" s="110" t="n"/>
      <c r="G18" s="110" t="n"/>
      <c r="H18" s="111" t="n"/>
      <c r="I18" s="21" t="n">
        <v>1</v>
      </c>
      <c r="J18" s="112" t="n">
        <v>1000</v>
      </c>
      <c r="K18" s="112" t="n">
        <v>1000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s="66" t="n"/>
      <c r="B19" s="128" t="n"/>
      <c r="C19" s="66" t="n"/>
      <c r="D19" s="113" t="n"/>
      <c r="E19" s="114" t="n"/>
      <c r="F19" s="114" t="n"/>
      <c r="G19" s="114" t="n"/>
      <c r="H19" s="115" t="n"/>
      <c r="I19" s="66" t="n"/>
      <c r="J19" s="116" t="n"/>
      <c r="K19" s="116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 ht="14.25" customHeight="1">
      <c r="A20" s="24" t="n"/>
      <c r="B20" s="129" t="n"/>
      <c r="C20" s="24" t="n"/>
      <c r="D20" s="109" t="n"/>
      <c r="E20" s="110" t="n"/>
      <c r="F20" s="110" t="n"/>
      <c r="G20" s="110" t="n"/>
      <c r="H20" s="111" t="n"/>
      <c r="I20" s="24" t="n"/>
      <c r="J20" s="117" t="n"/>
      <c r="K20" s="11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13" t="n"/>
      <c r="E21" s="114" t="n"/>
      <c r="F21" s="114" t="n"/>
      <c r="G21" s="114" t="n"/>
      <c r="H21" s="115" t="n"/>
      <c r="I21" s="24" t="n"/>
      <c r="J21" s="117" t="n"/>
      <c r="K21" s="11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09" t="n"/>
      <c r="E22" s="110" t="n"/>
      <c r="F22" s="110" t="n"/>
      <c r="G22" s="110" t="n"/>
      <c r="H22" s="111" t="n"/>
      <c r="I22" s="24" t="n"/>
      <c r="J22" s="117" t="n"/>
      <c r="K22" s="11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9" t="n"/>
      <c r="E23" s="110" t="n"/>
      <c r="F23" s="110" t="n"/>
      <c r="G23" s="110" t="n"/>
      <c r="H23" s="111" t="n"/>
      <c r="I23" s="24" t="n"/>
      <c r="J23" s="117" t="n"/>
      <c r="K23" s="11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9" t="n"/>
      <c r="E24" s="110" t="n"/>
      <c r="F24" s="110" t="n"/>
      <c r="G24" s="110" t="n"/>
      <c r="H24" s="111" t="n"/>
      <c r="I24" s="24" t="n"/>
      <c r="J24" s="117" t="n"/>
      <c r="K24" s="11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9" t="n"/>
      <c r="E25" s="110" t="n"/>
      <c r="F25" s="110" t="n"/>
      <c r="G25" s="110" t="n"/>
      <c r="H25" s="111" t="n"/>
      <c r="I25" s="24" t="n"/>
      <c r="J25" s="117" t="n"/>
      <c r="K25" s="11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9" t="n"/>
      <c r="E26" s="110" t="n"/>
      <c r="F26" s="110" t="n"/>
      <c r="G26" s="110" t="n"/>
      <c r="H26" s="111" t="n"/>
      <c r="I26" s="24" t="n"/>
      <c r="J26" s="117" t="n"/>
      <c r="K26" s="11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9" t="n"/>
      <c r="E27" s="110" t="n"/>
      <c r="F27" s="110" t="n"/>
      <c r="G27" s="110" t="n"/>
      <c r="H27" s="111" t="n"/>
      <c r="I27" s="24" t="n"/>
      <c r="J27" s="117" t="n"/>
      <c r="K27" s="11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9" t="n"/>
      <c r="E28" s="110" t="n"/>
      <c r="F28" s="110" t="n"/>
      <c r="G28" s="110" t="n"/>
      <c r="H28" s="111" t="n"/>
      <c r="I28" s="24" t="n"/>
      <c r="J28" s="117" t="n"/>
      <c r="K28" s="11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9" t="n"/>
      <c r="E29" s="110" t="n"/>
      <c r="F29" s="110" t="n"/>
      <c r="G29" s="110" t="n"/>
      <c r="H29" s="111" t="n"/>
      <c r="I29" s="24" t="n"/>
      <c r="J29" s="117" t="n"/>
      <c r="K29" s="11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30" t="n"/>
      <c r="E30" s="131" t="n"/>
      <c r="F30" s="131" t="n"/>
      <c r="G30" s="131" t="n"/>
      <c r="H30" s="132" t="n"/>
      <c r="I30" s="24" t="n"/>
      <c r="J30" s="117" t="n"/>
      <c r="K30" s="11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09" t="n"/>
      <c r="E31" s="110" t="n"/>
      <c r="F31" s="110" t="n"/>
      <c r="G31" s="110" t="n"/>
      <c r="H31" s="111" t="n"/>
      <c r="I31" s="24" t="n"/>
      <c r="J31" s="117" t="n"/>
      <c r="K31" s="11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30" t="n"/>
      <c r="E32" s="131" t="n"/>
      <c r="F32" s="131" t="n"/>
      <c r="G32" s="131" t="n"/>
      <c r="H32" s="132" t="n"/>
      <c r="I32" s="24" t="n"/>
      <c r="J32" s="117" t="n"/>
      <c r="K32" s="11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45">
        <f>SUM(K18:K34)</f>
        <v/>
      </c>
      <c r="W32" s="46" t="inlineStr">
        <is>
          <t xml:space="preserve"> Total up to this page</t>
        </is>
      </c>
    </row>
    <row r="33" ht="14.25" customHeight="1">
      <c r="A33" s="24" t="n"/>
      <c r="B33" s="129" t="n"/>
      <c r="C33" s="24" t="n"/>
      <c r="D33" s="109" t="n"/>
      <c r="E33" s="110" t="n"/>
      <c r="F33" s="110" t="n"/>
      <c r="G33" s="110" t="n"/>
      <c r="H33" s="111" t="n"/>
      <c r="I33" s="24" t="n"/>
      <c r="J33" s="117" t="n"/>
      <c r="K33" s="11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 ht="14.25" customHeight="1">
      <c r="A34" s="27" t="n"/>
      <c r="B34" s="133" t="n"/>
      <c r="C34" s="27" t="n"/>
      <c r="D34" s="134" t="n"/>
      <c r="E34" s="135" t="n"/>
      <c r="F34" s="135" t="n"/>
      <c r="G34" s="135" t="n"/>
      <c r="H34" s="136" t="n"/>
      <c r="I34" s="27" t="n"/>
      <c r="J34" s="124" t="n"/>
      <c r="K34" s="124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47" t="inlineStr">
        <is>
          <t>C/F P.2</t>
        </is>
      </c>
    </row>
    <row r="35" ht="14.25" customHeight="1">
      <c r="A35" s="48" t="inlineStr">
        <is>
          <t>REMARKS :</t>
        </is>
      </c>
      <c r="B35" s="40" t="n"/>
      <c r="C35" s="40" t="n"/>
      <c r="D35" s="40" t="n"/>
      <c r="E35" s="40" t="n"/>
      <c r="F35" s="40" t="n"/>
      <c r="G35" s="33" t="inlineStr">
        <is>
          <t>GRAND TOTAL - DHS.</t>
        </is>
      </c>
      <c r="H35" s="9" t="n"/>
      <c r="I35" s="9" t="n"/>
      <c r="J35" s="10" t="n"/>
      <c r="K35" s="47">
        <f>K18</f>
        <v/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 ht="14.25" customHeight="1">
      <c r="A36" s="49" t="inlineStr">
        <is>
          <t>THIS IS NOT A VAT INVOICE</t>
        </is>
      </c>
      <c r="B36" s="84" t="n"/>
      <c r="C36" s="84" t="n"/>
      <c r="D36" s="84" t="n"/>
      <c r="E36" s="84" t="n"/>
      <c r="F36" s="84" t="n"/>
      <c r="G36" s="33" t="inlineStr">
        <is>
          <t>VAT @ 5%</t>
        </is>
      </c>
      <c r="H36" s="9" t="n"/>
      <c r="I36" s="9" t="n"/>
      <c r="J36" s="10" t="n"/>
      <c r="K36" s="47">
        <f>K35*0.05</f>
        <v/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inlineStr">
        <is>
          <t>C/F ON Page 2</t>
        </is>
      </c>
    </row>
    <row r="37" ht="14.25" customHeight="1">
      <c r="A37" s="50" t="n"/>
      <c r="B37" s="84" t="n"/>
      <c r="C37" s="84" t="n"/>
      <c r="D37" s="84" t="n"/>
      <c r="E37" s="39" t="n"/>
      <c r="F37" s="39" t="n"/>
      <c r="G37" s="33" t="inlineStr">
        <is>
          <t>NET TOTAL - DHS.</t>
        </is>
      </c>
      <c r="H37" s="9" t="n"/>
      <c r="I37" s="9" t="n"/>
      <c r="J37" s="10" t="n"/>
      <c r="K37" s="51">
        <f>K35+K36</f>
        <v/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 ht="14.25" customHeight="1">
      <c r="A38" s="28" t="inlineStr">
        <is>
          <t>TOTAL AMOUNT (AED):</t>
        </is>
      </c>
      <c r="B38" s="9" t="inlineStr">
        <is>
          <t>One Thousand and Fifty Dirhams Only</t>
        </is>
      </c>
      <c r="C38" s="85" t="n"/>
      <c r="D38" s="85" t="n"/>
      <c r="E38" s="85" t="n"/>
      <c r="F38" s="85" t="n"/>
      <c r="G38" s="85" t="n"/>
      <c r="H38" s="85" t="n"/>
      <c r="I38" s="85" t="n"/>
      <c r="J38" s="85" t="n"/>
      <c r="K38" s="86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8" t="inlineStr">
        <is>
          <t xml:space="preserve">Payment to be made in the name of "Global Engineering  Laboratory" against official receipt only </t>
        </is>
      </c>
      <c r="B39" s="39" t="n"/>
      <c r="C39" s="39" t="n"/>
      <c r="D39" s="52" t="n"/>
      <c r="E39" s="52" t="n"/>
      <c r="F39" s="52" t="n"/>
      <c r="G39" s="52" t="n"/>
      <c r="H39" s="52" t="n"/>
      <c r="I39" s="52" t="n"/>
      <c r="J39" s="52" t="n"/>
      <c r="K39" s="53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15" t="inlineStr">
        <is>
          <t>RECEIVER'S NAME</t>
        </is>
      </c>
      <c r="B40" s="40" t="n"/>
      <c r="C40" s="40" t="n"/>
      <c r="D40" s="40" t="n"/>
      <c r="E40" s="40" t="n"/>
      <c r="F40" s="54" t="inlineStr">
        <is>
          <t>PREPARED BY:</t>
        </is>
      </c>
      <c r="G40" s="16" t="n"/>
      <c r="H40" s="55" t="n"/>
      <c r="I40" s="15" t="inlineStr">
        <is>
          <t>APPROVED BY:</t>
        </is>
      </c>
      <c r="J40" s="16" t="n"/>
      <c r="K40" s="41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82" t="n"/>
      <c r="B41" s="84" t="n"/>
      <c r="C41" s="84" t="n"/>
      <c r="D41" s="84" t="n"/>
      <c r="E41" s="84" t="n"/>
      <c r="F41" s="79" t="n"/>
      <c r="G41" s="84" t="n"/>
      <c r="H41" s="37" t="n"/>
      <c r="I41" s="79" t="n"/>
      <c r="J41" s="79" t="n"/>
      <c r="K41" s="3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2" t="n"/>
      <c r="B42" s="84" t="n"/>
      <c r="C42" s="84" t="n"/>
      <c r="D42" s="84" t="n"/>
      <c r="E42" s="84" t="n"/>
      <c r="F42" s="82" t="n"/>
      <c r="G42" s="84" t="n"/>
      <c r="H42" s="37" t="n"/>
      <c r="I42" s="82" t="n"/>
      <c r="J42" s="84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50" t="inlineStr">
        <is>
          <t>Signature:</t>
        </is>
      </c>
      <c r="B43" s="56" t="n"/>
      <c r="C43" s="56" t="inlineStr">
        <is>
          <t>Date:</t>
        </is>
      </c>
      <c r="D43" s="39" t="n"/>
      <c r="E43" s="39" t="n"/>
      <c r="F43" s="50" t="n"/>
      <c r="G43" s="39" t="n"/>
      <c r="H43" s="44" t="n"/>
      <c r="I43" s="50" t="n"/>
      <c r="J43" s="39" t="n"/>
      <c r="K43" s="44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7" t="inlineStr">
        <is>
          <t>Queries on the details of this invoice will not be accepted</t>
        </is>
      </c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58" t="inlineStr">
        <is>
          <t>after 5 working days from the receipt date of this invoice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125" t="inlineStr">
        <is>
          <t>*This is an electronically generated Invoice</t>
        </is>
      </c>
      <c r="B47" s="7" t="n"/>
      <c r="C47" s="7" t="n"/>
      <c r="D47" s="7" t="n"/>
      <c r="E47" s="7" t="n"/>
      <c r="F47" s="7" t="n"/>
      <c r="G47" s="7" t="n"/>
      <c r="H47" s="7" t="n"/>
      <c r="I47" s="59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60">
        <f>IF(X4="","","Tax Invoice No. :  "&amp;X4)</f>
        <v/>
      </c>
      <c r="B49" s="7" t="n"/>
      <c r="C49" s="7" t="n"/>
      <c r="D49" s="7" t="n"/>
      <c r="E49" s="7" t="n"/>
      <c r="F49" s="7" t="n"/>
      <c r="G49" s="7" t="n"/>
      <c r="H49" s="7" t="n"/>
      <c r="I49" s="59" t="inlineStr">
        <is>
          <t>for GLOBAL  ENGINEERING  LABORATORY</t>
        </is>
      </c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2007-02-05T05:05:36Z</dcterms:created>
  <dcterms:modified xmlns:dcterms="http://purl.org/dc/terms/" xmlns:xsi="http://www.w3.org/2001/XMLSchema-instance" xsi:type="dcterms:W3CDTF">2026-02-06T10:30:33Z</dcterms:modified>
  <cp:lastModifiedBy>USER</cp:lastModifiedBy>
  <cp:lastPrinted>2025-09-04T05:46:59Z</cp:lastPrinted>
</cp:coreProperties>
</file>