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62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INV-CRED-2025-026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08-Dec-2025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PJ-MAT-2025-007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Ajman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Samp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3456YUJFG</t>
        </is>
      </c>
      <c r="D18" s="105" t="inlineStr">
        <is>
          <t>Standard Penetration Test</t>
        </is>
      </c>
      <c r="E18" s="106" t="inlineStr">
        <is>
          <t>ASTM D1586</t>
        </is>
      </c>
      <c r="F18" s="106" t="n"/>
      <c r="G18" s="106" t="n"/>
      <c r="H18" s="107" t="n"/>
      <c r="I18" s="21" t="n">
        <v>1</v>
      </c>
      <c r="J18" s="45" t="n">
        <v>150</v>
      </c>
      <c r="K18" s="45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Rebound Hammer Test</t>
        </is>
      </c>
      <c r="E19" t="inlineStr">
        <is>
          <t>ASTM C805</t>
        </is>
      </c>
      <c r="I19" t="n">
        <v>1</v>
      </c>
      <c r="J19" t="n">
        <v>30</v>
      </c>
      <c r="K19" t="n">
        <v>30</v>
      </c>
    </row>
    <row r="20" ht="14.25" customHeight="1">
      <c r="A20" t="inlineStr">
        <is>
          <t xml:space="preserve"> - </t>
        </is>
      </c>
      <c r="B20" t="inlineStr">
        <is>
          <t xml:space="preserve"> - </t>
        </is>
      </c>
      <c r="D20" t="inlineStr">
        <is>
          <t>Standard Penetration Test</t>
        </is>
      </c>
      <c r="E20" t="inlineStr">
        <is>
          <t>ASTM D1586</t>
        </is>
      </c>
      <c r="I20" t="n">
        <v>1</v>
      </c>
      <c r="J20" t="n">
        <v>150</v>
      </c>
      <c r="K20" t="n">
        <v>150</v>
      </c>
    </row>
    <row r="21" ht="14.25" customHeight="1">
      <c r="A21" t="inlineStr">
        <is>
          <t xml:space="preserve"> - </t>
        </is>
      </c>
      <c r="B21" t="inlineStr">
        <is>
          <t xml:space="preserve"> - </t>
        </is>
      </c>
      <c r="D21" t="inlineStr">
        <is>
          <t>Rebound Hammer Test</t>
        </is>
      </c>
      <c r="E21" t="inlineStr">
        <is>
          <t>ASTM C805</t>
        </is>
      </c>
      <c r="I21" t="n">
        <v>1</v>
      </c>
      <c r="J21" t="n">
        <v>30</v>
      </c>
      <c r="K21" t="n">
        <v>30</v>
      </c>
    </row>
    <row r="22" ht="14.25" customHeight="1">
      <c r="A22" t="inlineStr">
        <is>
          <t xml:space="preserve"> - </t>
        </is>
      </c>
      <c r="B22" t="inlineStr">
        <is>
          <t xml:space="preserve"> - </t>
        </is>
      </c>
      <c r="D22" t="inlineStr">
        <is>
          <t>Standard Penetration Test</t>
        </is>
      </c>
      <c r="E22" t="inlineStr">
        <is>
          <t>ASTM D1586</t>
        </is>
      </c>
      <c r="I22" t="n">
        <v>1</v>
      </c>
      <c r="J22" t="n">
        <v>150</v>
      </c>
      <c r="K22" t="n">
        <v>150</v>
      </c>
    </row>
    <row r="23" ht="14.25" customHeight="1">
      <c r="A23" t="inlineStr">
        <is>
          <t xml:space="preserve"> - </t>
        </is>
      </c>
      <c r="B23" t="inlineStr">
        <is>
          <t xml:space="preserve"> - </t>
        </is>
      </c>
      <c r="D23" t="inlineStr">
        <is>
          <t>Rebound Hammer Test</t>
        </is>
      </c>
      <c r="E23" t="inlineStr">
        <is>
          <t>ASTM C805</t>
        </is>
      </c>
      <c r="I23" t="n">
        <v>1</v>
      </c>
      <c r="J23" t="n">
        <v>30</v>
      </c>
      <c r="K23" t="n">
        <v>30</v>
      </c>
    </row>
    <row r="24" ht="14.25" customHeight="1">
      <c r="A24" t="inlineStr">
        <is>
          <t xml:space="preserve"> - </t>
        </is>
      </c>
      <c r="B24" t="inlineStr">
        <is>
          <t xml:space="preserve"> - </t>
        </is>
      </c>
      <c r="D24" t="inlineStr">
        <is>
          <t>Standard Penetration Test</t>
        </is>
      </c>
      <c r="E24" t="inlineStr">
        <is>
          <t>ASTM D1586</t>
        </is>
      </c>
      <c r="I24" t="n">
        <v>1</v>
      </c>
      <c r="J24" t="n">
        <v>150</v>
      </c>
      <c r="K24" t="n">
        <v>150</v>
      </c>
    </row>
    <row r="25" ht="14.25" customHeight="1">
      <c r="A25" t="inlineStr">
        <is>
          <t xml:space="preserve"> - </t>
        </is>
      </c>
      <c r="B25" t="inlineStr">
        <is>
          <t xml:space="preserve"> - </t>
        </is>
      </c>
      <c r="D25" t="inlineStr">
        <is>
          <t>Rebound Hammer Test</t>
        </is>
      </c>
      <c r="E25" t="inlineStr">
        <is>
          <t>ASTM C805</t>
        </is>
      </c>
      <c r="I25" t="n">
        <v>1</v>
      </c>
      <c r="J25" t="n">
        <v>30</v>
      </c>
      <c r="K25" t="n">
        <v>30</v>
      </c>
    </row>
    <row r="26" ht="14.25" customHeight="1">
      <c r="A26" t="inlineStr">
        <is>
          <t xml:space="preserve"> - </t>
        </is>
      </c>
      <c r="B26" t="inlineStr">
        <is>
          <t xml:space="preserve"> - </t>
        </is>
      </c>
      <c r="D26" t="inlineStr">
        <is>
          <t>Standard Penetration Test</t>
        </is>
      </c>
      <c r="E26" t="inlineStr">
        <is>
          <t>ASTM D1586</t>
        </is>
      </c>
      <c r="I26" t="n">
        <v>1</v>
      </c>
      <c r="J26" t="n">
        <v>150</v>
      </c>
      <c r="K26" t="n">
        <v>150</v>
      </c>
    </row>
    <row r="27" ht="14.25" customHeight="1">
      <c r="A27" t="inlineStr">
        <is>
          <t xml:space="preserve"> - </t>
        </is>
      </c>
      <c r="B27" t="inlineStr">
        <is>
          <t xml:space="preserve"> - </t>
        </is>
      </c>
      <c r="D27" t="inlineStr">
        <is>
          <t>Rebound Hammer Test</t>
        </is>
      </c>
      <c r="E27" t="inlineStr">
        <is>
          <t>ASTM C805</t>
        </is>
      </c>
      <c r="I27" t="n">
        <v>1</v>
      </c>
      <c r="J27" t="n">
        <v>30</v>
      </c>
      <c r="K27" t="n">
        <v>30</v>
      </c>
    </row>
    <row r="28" ht="14.25" customHeight="1">
      <c r="A28" t="inlineStr">
        <is>
          <t xml:space="preserve"> - </t>
        </is>
      </c>
      <c r="B28" t="inlineStr">
        <is>
          <t xml:space="preserve"> - </t>
        </is>
      </c>
      <c r="D28" t="inlineStr">
        <is>
          <t>Standard Penetration Test</t>
        </is>
      </c>
      <c r="E28" t="inlineStr">
        <is>
          <t>ASTM D1586</t>
        </is>
      </c>
      <c r="I28" t="n">
        <v>1</v>
      </c>
      <c r="J28" t="n">
        <v>150</v>
      </c>
      <c r="K28" t="n">
        <v>150</v>
      </c>
    </row>
    <row r="29" ht="14.25" customHeight="1">
      <c r="A29" t="inlineStr">
        <is>
          <t xml:space="preserve"> - </t>
        </is>
      </c>
      <c r="B29" t="inlineStr">
        <is>
          <t xml:space="preserve"> - </t>
        </is>
      </c>
      <c r="D29" t="inlineStr">
        <is>
          <t>Rebound Hammer Test</t>
        </is>
      </c>
      <c r="E29" t="inlineStr">
        <is>
          <t>ASTM C805</t>
        </is>
      </c>
      <c r="I29" t="n">
        <v>1</v>
      </c>
      <c r="J29" t="n">
        <v>30</v>
      </c>
      <c r="K29" t="n">
        <v>30</v>
      </c>
    </row>
    <row r="30" ht="14.25" customHeight="1">
      <c r="A30" t="inlineStr">
        <is>
          <t xml:space="preserve"> - </t>
        </is>
      </c>
      <c r="B30" t="inlineStr">
        <is>
          <t xml:space="preserve"> - </t>
        </is>
      </c>
      <c r="D30" t="inlineStr">
        <is>
          <t>Standard Penetration Test</t>
        </is>
      </c>
      <c r="E30" t="inlineStr">
        <is>
          <t>ASTM D1586</t>
        </is>
      </c>
      <c r="I30" t="n">
        <v>1</v>
      </c>
      <c r="J30" t="n">
        <v>150</v>
      </c>
      <c r="K30" t="n">
        <v>150</v>
      </c>
    </row>
    <row r="31" ht="14.25" customHeight="1">
      <c r="A31" t="inlineStr">
        <is>
          <t xml:space="preserve"> - </t>
        </is>
      </c>
      <c r="B31" t="inlineStr">
        <is>
          <t xml:space="preserve"> - </t>
        </is>
      </c>
      <c r="D31" t="inlineStr">
        <is>
          <t>Rebound Hammer Test</t>
        </is>
      </c>
      <c r="E31" t="inlineStr">
        <is>
          <t>ASTM C805</t>
        </is>
      </c>
      <c r="I31" t="n">
        <v>1</v>
      </c>
      <c r="J31" t="n">
        <v>30</v>
      </c>
      <c r="K31" t="n">
        <v>30</v>
      </c>
    </row>
    <row r="32" ht="14.25" customHeight="1">
      <c r="A32" s="69" t="n"/>
      <c r="B32" s="128" t="n"/>
      <c r="C32" s="69" t="n"/>
      <c r="D32" s="116" t="n"/>
      <c r="E32" s="117" t="n"/>
      <c r="F32" s="117" t="n"/>
      <c r="G32" s="117" t="n"/>
      <c r="H32" s="118" t="n"/>
      <c r="I32" s="69" t="n"/>
      <c r="J32" s="70" t="n"/>
      <c r="K32" s="70">
        <f>IF(I19="","",(I19*J19))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4" t="n"/>
      <c r="B34" s="129" t="n"/>
      <c r="C34" s="24" t="n"/>
      <c r="D34" s="116" t="n"/>
      <c r="E34" s="117" t="n"/>
      <c r="F34" s="117" t="n"/>
      <c r="G34" s="117" t="n"/>
      <c r="H34" s="118" t="n"/>
      <c r="I34" s="24" t="n"/>
      <c r="J34" s="46" t="n"/>
      <c r="K34" s="46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4" t="n"/>
      <c r="B35" s="129" t="n"/>
      <c r="C35" s="24" t="n"/>
      <c r="D35" s="105" t="n"/>
      <c r="E35" s="106" t="n"/>
      <c r="F35" s="106" t="n"/>
      <c r="G35" s="106" t="n"/>
      <c r="H35" s="107" t="n"/>
      <c r="I35" s="24" t="n"/>
      <c r="J35" s="46" t="n"/>
      <c r="K35" s="46" t="n">
        <v>1323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24" t="n"/>
      <c r="B36" s="129" t="n"/>
      <c r="C36" s="24" t="n"/>
      <c r="D36" s="105" t="n"/>
      <c r="E36" s="106" t="n"/>
      <c r="F36" s="106" t="n"/>
      <c r="G36" s="106" t="n"/>
      <c r="H36" s="107" t="n"/>
      <c r="I36" s="24" t="n"/>
      <c r="J36" s="46" t="n"/>
      <c r="K36" s="46" t="n">
        <v>63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24" t="n"/>
      <c r="B37" s="129" t="n"/>
      <c r="C37" s="24" t="n"/>
      <c r="D37" s="105" t="n"/>
      <c r="E37" s="106" t="n"/>
      <c r="F37" s="106" t="n"/>
      <c r="G37" s="106" t="n"/>
      <c r="H37" s="107" t="n"/>
      <c r="I37" s="24" t="n"/>
      <c r="J37" s="46" t="n"/>
      <c r="K37" s="46" t="n">
        <v>1260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4" t="n"/>
      <c r="B38" s="129" t="n"/>
      <c r="C38" s="24" t="inlineStr">
        <is>
          <t xml:space="preserve"> 1,323.00 United Arab Emirates Dirhams Only</t>
        </is>
      </c>
      <c r="D38" s="105" t="n"/>
      <c r="E38" s="106" t="n"/>
      <c r="F38" s="106" t="n"/>
      <c r="G38" s="106" t="n"/>
      <c r="H38" s="107" t="n"/>
      <c r="I38" s="24" t="n"/>
      <c r="J38" s="46" t="n"/>
      <c r="K38" s="4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4" t="n"/>
      <c r="B39" s="129" t="n"/>
      <c r="C39" s="24" t="n"/>
      <c r="D39" s="105" t="n"/>
      <c r="E39" s="106" t="n"/>
      <c r="F39" s="106" t="n"/>
      <c r="G39" s="106" t="n"/>
      <c r="H39" s="107" t="n"/>
      <c r="I39" s="24" t="n"/>
      <c r="J39" s="46" t="n"/>
      <c r="K39" s="4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24" t="n"/>
      <c r="B40" s="129" t="n"/>
      <c r="C40" s="24" t="n"/>
      <c r="D40" s="105" t="n"/>
      <c r="E40" s="106" t="n"/>
      <c r="F40" s="106" t="n"/>
      <c r="G40" s="106" t="n"/>
      <c r="H40" s="107" t="n"/>
      <c r="I40" s="24" t="n"/>
      <c r="J40" s="46" t="n"/>
      <c r="K40" s="4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24" t="n"/>
      <c r="B41" s="129" t="n"/>
      <c r="C41" s="24" t="n"/>
      <c r="D41" s="105" t="n"/>
      <c r="E41" s="106" t="n"/>
      <c r="F41" s="106" t="n"/>
      <c r="G41" s="106" t="n"/>
      <c r="H41" s="107" t="n"/>
      <c r="I41" s="24" t="n"/>
      <c r="J41" s="46" t="n"/>
      <c r="K41" s="4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24" t="n"/>
      <c r="B42" s="129" t="n"/>
      <c r="C42" s="24" t="n"/>
      <c r="D42" s="105" t="n"/>
      <c r="E42" s="106" t="n"/>
      <c r="F42" s="106" t="n"/>
      <c r="G42" s="106" t="n"/>
      <c r="H42" s="107" t="n"/>
      <c r="I42" s="24" t="n"/>
      <c r="J42" s="46" t="n"/>
      <c r="K42" s="46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24" t="n"/>
      <c r="B43" s="129" t="n"/>
      <c r="C43" s="24" t="n"/>
      <c r="D43" s="130" t="n"/>
      <c r="E43" s="131" t="n"/>
      <c r="F43" s="131" t="n"/>
      <c r="G43" s="131" t="n"/>
      <c r="H43" s="132" t="n"/>
      <c r="I43" s="24" t="n"/>
      <c r="J43" s="46" t="n"/>
      <c r="K43" s="46">
        <f>IF(I30="","",(I30*J30))</f>
        <v/>
      </c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24" t="n"/>
      <c r="B44" s="129" t="n"/>
      <c r="C44" s="24" t="n"/>
      <c r="D44" s="105" t="n"/>
      <c r="E44" s="106" t="n"/>
      <c r="F44" s="106" t="n"/>
      <c r="G44" s="106" t="n"/>
      <c r="H44" s="107" t="n"/>
      <c r="I44" s="24" t="n"/>
      <c r="J44" s="46" t="n"/>
      <c r="K44" s="46">
        <f>IF(I31="","",(I31*J31))</f>
        <v/>
      </c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24" t="n"/>
      <c r="B45" s="129" t="n"/>
      <c r="C45" s="24" t="n"/>
      <c r="D45" s="130" t="n"/>
      <c r="E45" s="131" t="n"/>
      <c r="F45" s="131" t="n"/>
      <c r="G45" s="131" t="n"/>
      <c r="H45" s="132" t="n"/>
      <c r="I45" s="24" t="n"/>
      <c r="J45" s="46" t="n"/>
      <c r="K45" s="46">
        <f>IF(I32="","",(I32*J32))</f>
        <v/>
      </c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47">
        <f>SUM(K18:K34)</f>
        <v/>
      </c>
      <c r="W45" s="48" t="inlineStr">
        <is>
          <t xml:space="preserve"> Total up to this page</t>
        </is>
      </c>
    </row>
    <row r="46">
      <c r="A46" s="24" t="n"/>
      <c r="B46" s="129" t="n"/>
      <c r="C46" s="24" t="n"/>
      <c r="D46" s="105" t="n"/>
      <c r="E46" s="106" t="n"/>
      <c r="F46" s="106" t="n"/>
      <c r="G46" s="106" t="n"/>
      <c r="H46" s="107" t="n"/>
      <c r="I46" s="24" t="n"/>
      <c r="J46" s="46" t="n"/>
      <c r="K46" s="46">
        <f>IF(I33="","",(I33*J33))</f>
        <v/>
      </c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27" t="n"/>
      <c r="B47" s="133" t="n"/>
      <c r="C47" s="27" t="n"/>
      <c r="D47" s="134" t="n"/>
      <c r="E47" s="135" t="n"/>
      <c r="F47" s="135" t="n"/>
      <c r="G47" s="135" t="n"/>
      <c r="H47" s="136" t="n"/>
      <c r="I47" s="27" t="n"/>
      <c r="J47" s="49" t="n"/>
      <c r="K47" s="49">
        <f>IF(I34="","",(I34*J34))</f>
        <v/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50" t="inlineStr">
        <is>
          <t>C/F P.2</t>
        </is>
      </c>
    </row>
    <row r="48">
      <c r="A48" s="51" t="inlineStr">
        <is>
          <t>REMARKS :</t>
        </is>
      </c>
      <c r="B48" s="40" t="n"/>
      <c r="C48" s="40" t="n"/>
      <c r="D48" s="40" t="n"/>
      <c r="E48" s="40" t="n"/>
      <c r="F48" s="40" t="n"/>
      <c r="G48" s="33" t="inlineStr">
        <is>
          <t>GRAND TOTAL - DHS.</t>
        </is>
      </c>
      <c r="H48" s="9" t="n"/>
      <c r="I48" s="9" t="n"/>
      <c r="J48" s="10" t="n"/>
      <c r="K48" s="50">
        <f>SUM(K18:K34)</f>
        <v/>
      </c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52" t="inlineStr">
        <is>
          <t>THIS IS NOT A VAT INVOICE</t>
        </is>
      </c>
      <c r="B49" s="88" t="n"/>
      <c r="C49" s="88" t="n"/>
      <c r="D49" s="88" t="n"/>
      <c r="E49" s="88" t="n"/>
      <c r="F49" s="88" t="n"/>
      <c r="G49" s="33" t="inlineStr">
        <is>
          <t>VAT @ 5%</t>
        </is>
      </c>
      <c r="H49" s="9" t="n"/>
      <c r="I49" s="9" t="n"/>
      <c r="J49" s="10" t="n"/>
      <c r="K49" s="50">
        <f>K35*5%</f>
        <v/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inlineStr">
        <is>
          <t>C/F ON Page 2</t>
        </is>
      </c>
    </row>
    <row r="50">
      <c r="A50" s="53" t="n"/>
      <c r="B50" s="88" t="n"/>
      <c r="C50" s="88" t="n"/>
      <c r="D50" s="88" t="n"/>
      <c r="E50" s="39" t="n"/>
      <c r="F50" s="39" t="n"/>
      <c r="G50" s="33" t="inlineStr">
        <is>
          <t>NET TOTAL - DHS.</t>
        </is>
      </c>
      <c r="H50" s="9" t="n"/>
      <c r="I50" s="9" t="n"/>
      <c r="J50" s="10" t="n"/>
      <c r="K50" s="54">
        <f>K35+K36</f>
        <v/>
      </c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28" t="inlineStr">
        <is>
          <t>TOTAL AMOUNT (AED):</t>
        </is>
      </c>
      <c r="B51" s="9" t="n"/>
      <c r="C51" s="89" t="n"/>
      <c r="D51" s="89" t="n"/>
      <c r="E51" s="89" t="n"/>
      <c r="F51" s="89" t="n"/>
      <c r="G51" s="89" t="n"/>
      <c r="H51" s="89" t="n"/>
      <c r="I51" s="89" t="n"/>
      <c r="J51" s="89" t="n"/>
      <c r="K51" s="90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8" t="inlineStr">
        <is>
          <t xml:space="preserve">Payment to be made in the name of "Global Engineering  Laboratory" against official receipt only </t>
        </is>
      </c>
      <c r="B52" s="39" t="n"/>
      <c r="C52" s="39" t="n"/>
      <c r="D52" s="55" t="n"/>
      <c r="E52" s="55" t="n"/>
      <c r="F52" s="55" t="n"/>
      <c r="G52" s="55" t="n"/>
      <c r="H52" s="55" t="n"/>
      <c r="I52" s="55" t="n"/>
      <c r="J52" s="55" t="n"/>
      <c r="K52" s="56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15" t="inlineStr">
        <is>
          <t>RECEIVER'S NAME</t>
        </is>
      </c>
      <c r="B53" s="40" t="n"/>
      <c r="C53" s="40" t="n"/>
      <c r="D53" s="40" t="n"/>
      <c r="E53" s="40" t="n"/>
      <c r="F53" s="57" t="inlineStr">
        <is>
          <t>PREPARED BY:</t>
        </is>
      </c>
      <c r="G53" s="16" t="n"/>
      <c r="H53" s="58" t="n"/>
      <c r="I53" s="15" t="inlineStr">
        <is>
          <t>APPROVED BY:</t>
        </is>
      </c>
      <c r="J53" s="16" t="n"/>
      <c r="K53" s="41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  <row r="54">
      <c r="A54" s="86" t="n"/>
      <c r="B54" s="88" t="n"/>
      <c r="C54" s="88" t="n"/>
      <c r="D54" s="88" t="n"/>
      <c r="E54" s="88" t="n"/>
      <c r="F54" s="83" t="n"/>
      <c r="G54" s="88" t="n"/>
      <c r="H54" s="37" t="n"/>
      <c r="I54" s="83" t="n"/>
      <c r="J54" s="83" t="n"/>
      <c r="K54" s="3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86" t="n"/>
      <c r="B55" s="88" t="n"/>
      <c r="C55" s="88" t="n"/>
      <c r="D55" s="88" t="n"/>
      <c r="E55" s="88" t="n"/>
      <c r="F55" s="86" t="n"/>
      <c r="G55" s="88" t="n"/>
      <c r="H55" s="37" t="n"/>
      <c r="I55" s="86" t="n"/>
      <c r="J55" s="88" t="n"/>
      <c r="K55" s="3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</row>
    <row r="56">
      <c r="A56" s="53" t="inlineStr">
        <is>
          <t>Signature:</t>
        </is>
      </c>
      <c r="B56" s="59" t="n"/>
      <c r="C56" s="59" t="inlineStr">
        <is>
          <t>Date:</t>
        </is>
      </c>
      <c r="D56" s="39" t="n"/>
      <c r="E56" s="39" t="n"/>
      <c r="F56" s="53" t="n"/>
      <c r="G56" s="39" t="n"/>
      <c r="H56" s="44" t="n"/>
      <c r="I56" s="53" t="n"/>
      <c r="J56" s="39" t="n"/>
      <c r="K56" s="4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60" t="inlineStr">
        <is>
          <t>Queries on the details of this invoice will not be accepted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</row>
    <row r="58">
      <c r="A58" s="61" t="inlineStr">
        <is>
          <t>after 5 working days from the receipt date of this invoice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62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</row>
    <row r="62">
      <c r="A62" s="63">
        <f>IF(X4="","","Tax Invoice No. :  "&amp;X4)</f>
        <v/>
      </c>
      <c r="B62" s="7" t="n"/>
      <c r="C62" s="7" t="n"/>
      <c r="D62" s="7" t="n"/>
      <c r="E62" s="7" t="n"/>
      <c r="F62" s="7" t="n"/>
      <c r="G62" s="7" t="n"/>
      <c r="H62" s="7" t="n"/>
      <c r="I62" s="62" t="inlineStr">
        <is>
          <t>for GLOBAL  ENGINEERING  LABORATORY</t>
        </is>
      </c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2025-12-08T08:18:45Z</dcterms:modified>
  <cp:lastModifiedBy>USER</cp:lastModifiedBy>
  <cp:lastPrinted>2025-09-04T05:46:59Z</cp:lastPrinted>
</cp:coreProperties>
</file>