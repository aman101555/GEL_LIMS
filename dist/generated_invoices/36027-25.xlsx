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1" fillId="0" borderId="10" applyAlignment="1" applyProtection="1" pivotButton="0" quotePrefix="0" xfId="0">
      <alignment vertical="center"/>
      <protection locked="1" hidden="1"/>
    </xf>
    <xf numFmtId="2" fontId="1" fillId="0" borderId="11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1" fillId="0" borderId="12" applyAlignment="1" applyProtection="1" pivotButton="0" quotePrefix="0" xfId="0">
      <alignment vertical="center"/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8" applyAlignment="1" applyProtection="1" pivotButton="0" quotePrefix="0" xfId="0">
      <alignment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4" fillId="0" borderId="6" applyAlignment="1" applyProtection="1" pivotButton="0" quotePrefix="0" xfId="0">
      <alignment vertical="center"/>
      <protection locked="1" hidden="1"/>
    </xf>
    <xf numFmtId="0" fontId="4" fillId="0" borderId="7" applyAlignment="1" applyProtection="1" pivotButton="0" quotePrefix="0" xfId="0">
      <alignment vertical="center"/>
      <protection locked="1" hidden="1"/>
    </xf>
    <xf numFmtId="0" fontId="4" fillId="0" borderId="15" applyAlignment="1" applyProtection="1" pivotButton="0" quotePrefix="0" xfId="0">
      <alignment vertical="center"/>
      <protection locked="1" hidden="1"/>
    </xf>
    <xf numFmtId="0" fontId="4" fillId="0" borderId="1" applyAlignment="1" applyProtection="1" pivotButton="0" quotePrefix="0" xfId="0">
      <alignment vertical="center"/>
      <protection locked="1" hidden="1"/>
    </xf>
    <xf numFmtId="0" fontId="4" fillId="0" borderId="16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4" fillId="0" borderId="17" applyAlignment="1" applyProtection="1" pivotButton="0" quotePrefix="0" xfId="0">
      <alignment vertical="center"/>
      <protection locked="1" hidden="1"/>
    </xf>
    <xf numFmtId="0" fontId="4" fillId="0" borderId="9" applyAlignment="1" applyProtection="1" pivotButton="0" quotePrefix="0" xfId="0">
      <alignment vertical="center"/>
      <protection locked="1" hidden="1"/>
    </xf>
    <xf numFmtId="0" fontId="3" fillId="0" borderId="2" applyAlignment="1" applyProtection="1" pivotButton="0" quotePrefix="0" xfId="0">
      <alignment vertical="center"/>
      <protection locked="1" hidden="1"/>
    </xf>
    <xf numFmtId="0" fontId="1" fillId="0" borderId="19" applyAlignment="1" applyProtection="1" pivotButton="0" quotePrefix="0" xfId="0">
      <alignment vertical="top" wrapText="1"/>
      <protection locked="1" hidden="1"/>
    </xf>
    <xf numFmtId="0" fontId="1" fillId="0" borderId="20" applyAlignment="1" applyProtection="1" pivotButton="0" quotePrefix="0" xfId="0">
      <alignment vertical="top" wrapText="1"/>
      <protection locked="1" hidden="1"/>
    </xf>
    <xf numFmtId="0" fontId="1" fillId="0" borderId="21" applyAlignment="1" applyProtection="1" pivotButton="0" quotePrefix="0" xfId="0">
      <alignment vertical="top" wrapText="1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0" fontId="1" fillId="0" borderId="22" applyAlignment="1" applyProtection="1" pivotButton="0" quotePrefix="0" xfId="0">
      <alignment vertical="top" wrapText="1"/>
      <protection locked="1" hidden="1"/>
    </xf>
    <xf numFmtId="0" fontId="1" fillId="0" borderId="23" applyAlignment="1" applyProtection="1" pivotButton="0" quotePrefix="0" xfId="0">
      <alignment vertical="top" wrapText="1"/>
      <protection locked="1" hidden="1"/>
    </xf>
    <xf numFmtId="0" fontId="1" fillId="0" borderId="24" applyAlignment="1" applyProtection="1" pivotButton="0" quotePrefix="0" xfId="0">
      <alignment vertical="top" wrapText="1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  <xf numFmtId="0" fontId="0" fillId="0" borderId="7" applyAlignment="1" applyProtection="1" pivotButton="0" quotePrefix="0" xfId="0">
      <alignment horizontal="center"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50"/>
  <sheetViews>
    <sheetView tabSelected="1" topLeftCell="A2" zoomScale="78" zoomScaleNormal="55" workbookViewId="0">
      <selection activeCell="V23" sqref="V2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4" t="inlineStr">
        <is>
          <t xml:space="preserve"> PROFORMA INVOICE          </t>
        </is>
      </c>
      <c r="B3" s="74" t="n"/>
      <c r="C3" s="74" t="n"/>
      <c r="D3" s="74" t="n"/>
      <c r="E3" s="74" t="n"/>
      <c r="F3" s="74" t="n"/>
      <c r="G3" s="31" t="n"/>
      <c r="H3" s="91" t="inlineStr">
        <is>
          <t>TRN : 100346023300003</t>
        </is>
      </c>
      <c r="I3" s="91" t="n"/>
      <c r="J3" s="91" t="n"/>
      <c r="K3" s="91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97" t="inlineStr">
        <is>
          <t>36027/25</t>
        </is>
      </c>
      <c r="J4" s="98" t="n"/>
      <c r="K4" s="99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80" t="n">
        <v>1</v>
      </c>
      <c r="B5" s="81" t="n"/>
      <c r="C5" s="81" t="n"/>
      <c r="D5" s="81" t="n"/>
      <c r="E5" s="82" t="n"/>
      <c r="F5" s="104" t="inlineStr">
        <is>
          <t xml:space="preserve">DATE  </t>
        </is>
      </c>
      <c r="G5" s="55" t="n"/>
      <c r="H5" s="56" t="n"/>
      <c r="I5" s="100" t="inlineStr">
        <is>
          <t>17-Dec-2025</t>
        </is>
      </c>
      <c r="J5" s="101" t="n"/>
      <c r="K5" s="101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8" t="n"/>
      <c r="D6" s="88" t="n"/>
      <c r="E6" s="88" t="n"/>
      <c r="F6" s="112" t="inlineStr">
        <is>
          <t>GSL Ref. &amp; Date</t>
        </is>
      </c>
      <c r="G6" s="112" t="n"/>
      <c r="H6" s="112" t="n"/>
      <c r="I6" s="108" t="inlineStr">
        <is>
          <t>20-Dec-2025</t>
        </is>
      </c>
      <c r="J6" s="101" t="n"/>
      <c r="K6" s="101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8" t="n"/>
      <c r="D7" s="88" t="n"/>
      <c r="E7" s="88" t="n"/>
      <c r="F7" s="111" t="inlineStr">
        <is>
          <t>Customer Ref. No.</t>
        </is>
      </c>
      <c r="G7" s="111" t="n"/>
      <c r="H7" s="111" t="n"/>
      <c r="I7" s="109" t="n"/>
      <c r="J7" s="64" t="n"/>
      <c r="K7" s="110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8" t="n"/>
      <c r="D8" s="37" t="n"/>
      <c r="E8" s="119" t="inlineStr">
        <is>
          <t xml:space="preserve">Payment terms / Due Date </t>
        </is>
      </c>
      <c r="F8" s="120" t="n"/>
      <c r="G8" s="120" t="n"/>
      <c r="H8" s="121" t="n"/>
      <c r="I8" s="122" t="inlineStr">
        <is>
          <t>Immediate</t>
        </is>
      </c>
      <c r="J8" s="101" t="n"/>
      <c r="K8" s="101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4" t="n"/>
      <c r="J9" s="65" t="n"/>
      <c r="K9" s="66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26" t="n"/>
      <c r="C10" s="126" t="inlineStr">
        <is>
          <t>EDGE Architects</t>
        </is>
      </c>
      <c r="D10" s="88" t="n"/>
      <c r="E10" s="88" t="n"/>
      <c r="F10" s="88" t="n"/>
      <c r="G10" s="88" t="n"/>
      <c r="H10" s="88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8" t="n"/>
      <c r="C11" s="42" t="n"/>
      <c r="D11" s="7" t="n"/>
      <c r="E11" s="7" t="n"/>
      <c r="F11" s="7" t="n"/>
      <c r="G11" s="7" t="n"/>
      <c r="H11" s="7" t="n"/>
      <c r="I11" s="88" t="n"/>
      <c r="J11" s="88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8" t="n"/>
      <c r="C12" s="42" t="n"/>
      <c r="D12" s="85" t="n"/>
      <c r="E12" s="85" t="n"/>
      <c r="F12" s="85" t="n"/>
      <c r="G12" s="85" t="n"/>
      <c r="H12" s="85" t="n"/>
      <c r="I12" s="88" t="n"/>
      <c r="J12" s="88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8" t="n"/>
      <c r="C13" s="71" t="inlineStr">
        <is>
          <t>LP/16735/25/DXB</t>
        </is>
      </c>
      <c r="D13" s="72" t="n"/>
      <c r="E13" s="72" t="n"/>
      <c r="F13" s="72" t="n"/>
      <c r="G13" s="72" t="n"/>
      <c r="H13" s="72" t="n"/>
      <c r="I13" s="72" t="n"/>
      <c r="J13" s="72" t="n"/>
      <c r="K13" s="73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8" t="n"/>
      <c r="C14" s="83" t="inlineStr">
        <is>
          <t>Warqa</t>
        </is>
      </c>
      <c r="D14" s="85" t="n"/>
      <c r="E14" s="85" t="n"/>
      <c r="F14" s="85" t="n"/>
      <c r="G14" s="85" t="n"/>
      <c r="H14" s="85" t="n"/>
      <c r="I14" s="88" t="n"/>
      <c r="J14" s="88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83" t="inlineStr">
        <is>
          <t>Final Test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8" t="inlineStr">
        <is>
          <t>Report / D.N. No.</t>
        </is>
      </c>
      <c r="B16" s="75" t="inlineStr">
        <is>
          <t>Report / D.N.</t>
        </is>
      </c>
      <c r="C16" s="78" t="inlineStr">
        <is>
          <t>Project Ref. / L.P.O.</t>
        </is>
      </c>
      <c r="D16" s="92" t="inlineStr">
        <is>
          <t>PARTICULARS</t>
        </is>
      </c>
      <c r="E16" s="93" t="n"/>
      <c r="F16" s="93" t="n"/>
      <c r="G16" s="93" t="n"/>
      <c r="H16" s="94" t="n"/>
      <c r="I16" s="102" t="inlineStr">
        <is>
          <t>QTY</t>
        </is>
      </c>
      <c r="J16" s="102" t="inlineStr">
        <is>
          <t>RATE</t>
        </is>
      </c>
      <c r="K16" s="76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9" t="n"/>
      <c r="B17" s="77" t="inlineStr">
        <is>
          <t>Date</t>
        </is>
      </c>
      <c r="C17" s="79" t="n"/>
      <c r="D17" s="28" t="n"/>
      <c r="E17" s="95" t="n"/>
      <c r="F17" s="95" t="n"/>
      <c r="G17" s="95" t="n"/>
      <c r="H17" s="96" t="n"/>
      <c r="I17" s="103" t="n"/>
      <c r="J17" s="103" t="n"/>
      <c r="K17" s="77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 xml:space="preserve"> - </t>
        </is>
      </c>
      <c r="B18" s="127" t="inlineStr">
        <is>
          <t xml:space="preserve"> - </t>
        </is>
      </c>
      <c r="C18" s="21" t="inlineStr">
        <is>
          <t>23ANKJN</t>
        </is>
      </c>
      <c r="D18" s="105" t="inlineStr">
        <is>
          <t>Rebound Hammer Test</t>
        </is>
      </c>
      <c r="E18" s="106" t="inlineStr">
        <is>
          <t>ASTM C805</t>
        </is>
      </c>
      <c r="F18" s="106" t="n"/>
      <c r="G18" s="106" t="n"/>
      <c r="H18" s="107" t="n"/>
      <c r="I18" s="21" t="n">
        <v>2</v>
      </c>
      <c r="J18" s="45" t="n">
        <v>30</v>
      </c>
      <c r="K18" s="45" t="n">
        <v>60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t="inlineStr">
        <is>
          <t xml:space="preserve"> - </t>
        </is>
      </c>
      <c r="B19" t="inlineStr">
        <is>
          <t xml:space="preserve"> - </t>
        </is>
      </c>
      <c r="D19" t="inlineStr">
        <is>
          <t>Standard Penetration Test</t>
        </is>
      </c>
      <c r="E19" t="inlineStr">
        <is>
          <t>ASTM D1586</t>
        </is>
      </c>
      <c r="I19" t="n">
        <v>2</v>
      </c>
      <c r="J19" t="n">
        <v>150</v>
      </c>
      <c r="K19" t="n">
        <v>300</v>
      </c>
    </row>
    <row r="20" ht="14.25" customHeight="1">
      <c r="A20" s="69" t="n"/>
      <c r="B20" s="128" t="n"/>
      <c r="C20" s="69" t="n"/>
      <c r="D20" s="116" t="n"/>
      <c r="E20" s="117" t="n"/>
      <c r="F20" s="117" t="n"/>
      <c r="G20" s="117" t="n"/>
      <c r="H20" s="118" t="n"/>
      <c r="I20" s="69" t="n"/>
      <c r="J20" s="70" t="n"/>
      <c r="K20" s="70">
        <f>IF(I19="","",(I19*J19))</f>
        <v/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05" t="n"/>
      <c r="E21" s="106" t="n"/>
      <c r="F21" s="106" t="n"/>
      <c r="G21" s="106" t="n"/>
      <c r="H21" s="107" t="n"/>
      <c r="I21" s="24" t="n"/>
      <c r="J21" s="46" t="n"/>
      <c r="K21" s="46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16" t="n"/>
      <c r="E22" s="117" t="n"/>
      <c r="F22" s="117" t="n"/>
      <c r="G22" s="117" t="n"/>
      <c r="H22" s="118" t="n"/>
      <c r="I22" s="24" t="n"/>
      <c r="J22" s="46" t="n"/>
      <c r="K22" s="4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5" t="n"/>
      <c r="E23" s="106" t="n"/>
      <c r="F23" s="106" t="n"/>
      <c r="G23" s="106" t="n"/>
      <c r="H23" s="107" t="n"/>
      <c r="I23" s="24" t="n"/>
      <c r="J23" s="46" t="n"/>
      <c r="K23" s="46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5" t="n"/>
      <c r="E24" s="106" t="n"/>
      <c r="F24" s="106" t="n"/>
      <c r="G24" s="106" t="n"/>
      <c r="H24" s="107" t="n"/>
      <c r="I24" s="24" t="n"/>
      <c r="J24" s="46" t="n"/>
      <c r="K24" s="4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5" t="n"/>
      <c r="E25" s="106" t="n"/>
      <c r="F25" s="106" t="n"/>
      <c r="G25" s="106" t="n"/>
      <c r="H25" s="107" t="n"/>
      <c r="I25" s="24" t="n"/>
      <c r="J25" s="46" t="n"/>
      <c r="K25" s="46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5" t="n"/>
      <c r="E26" s="106" t="n"/>
      <c r="F26" s="106" t="n"/>
      <c r="G26" s="106" t="n"/>
      <c r="H26" s="107" t="n"/>
      <c r="I26" s="24" t="n"/>
      <c r="J26" s="46" t="n"/>
      <c r="K26" s="4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5" t="n"/>
      <c r="E27" s="106" t="n"/>
      <c r="F27" s="106" t="n"/>
      <c r="G27" s="106" t="n"/>
      <c r="H27" s="107" t="n"/>
      <c r="I27" s="24" t="n"/>
      <c r="J27" s="46" t="n"/>
      <c r="K27" s="46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5" t="n"/>
      <c r="E28" s="106" t="n"/>
      <c r="F28" s="106" t="n"/>
      <c r="G28" s="106" t="n"/>
      <c r="H28" s="107" t="n"/>
      <c r="I28" s="24" t="n"/>
      <c r="J28" s="46" t="n"/>
      <c r="K28" s="4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5" t="n"/>
      <c r="E29" s="106" t="n"/>
      <c r="F29" s="106" t="n"/>
      <c r="G29" s="106" t="n"/>
      <c r="H29" s="107" t="n"/>
      <c r="I29" s="24" t="n"/>
      <c r="J29" s="46" t="n"/>
      <c r="K29" s="46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05" t="n"/>
      <c r="E30" s="106" t="n"/>
      <c r="F30" s="106" t="n"/>
      <c r="G30" s="106" t="n"/>
      <c r="H30" s="107" t="n"/>
      <c r="I30" s="24" t="n"/>
      <c r="J30" s="46" t="n"/>
      <c r="K30" s="4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30" t="n"/>
      <c r="E31" s="131" t="n"/>
      <c r="F31" s="131" t="n"/>
      <c r="G31" s="131" t="n"/>
      <c r="H31" s="132" t="n"/>
      <c r="I31" s="24" t="n"/>
      <c r="J31" s="46" t="n"/>
      <c r="K31" s="46">
        <f>IF(I30="","",(I30*J30))</f>
        <v/>
      </c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05" t="n"/>
      <c r="E32" s="106" t="n"/>
      <c r="F32" s="106" t="n"/>
      <c r="G32" s="106" t="n"/>
      <c r="H32" s="107" t="n"/>
      <c r="I32" s="24" t="n"/>
      <c r="J32" s="46" t="n"/>
      <c r="K32" s="46">
        <f>IF(I31="","",(I31*J31))</f>
        <v/>
      </c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</row>
    <row r="33" ht="14.25" customHeight="1">
      <c r="A33" s="24" t="n"/>
      <c r="B33" s="129" t="n"/>
      <c r="C33" s="24" t="n"/>
      <c r="D33" s="130" t="n"/>
      <c r="E33" s="131" t="n"/>
      <c r="F33" s="131" t="n"/>
      <c r="G33" s="131" t="n"/>
      <c r="H33" s="132" t="n"/>
      <c r="I33" s="24" t="n"/>
      <c r="J33" s="46" t="n"/>
      <c r="K33" s="46">
        <f>IF(I32="","",(I32*J32))</f>
        <v/>
      </c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47">
        <f>SUM(K18:K34)</f>
        <v/>
      </c>
      <c r="W33" s="48" t="inlineStr">
        <is>
          <t xml:space="preserve"> Total up to this page</t>
        </is>
      </c>
    </row>
    <row r="34" ht="14.25" customHeight="1">
      <c r="A34" s="24" t="n"/>
      <c r="B34" s="129" t="n"/>
      <c r="C34" s="24" t="n"/>
      <c r="D34" s="105" t="n"/>
      <c r="E34" s="106" t="n"/>
      <c r="F34" s="106" t="n"/>
      <c r="G34" s="106" t="n"/>
      <c r="H34" s="107" t="n"/>
      <c r="I34" s="24" t="n"/>
      <c r="J34" s="46" t="n"/>
      <c r="K34" s="46">
        <f>IF(I33="","",(I33*J33))</f>
        <v/>
      </c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</row>
    <row r="35" ht="14.25" customHeight="1">
      <c r="A35" s="27" t="n"/>
      <c r="B35" s="133" t="n"/>
      <c r="C35" s="27" t="n"/>
      <c r="D35" s="134" t="n"/>
      <c r="E35" s="135" t="n"/>
      <c r="F35" s="135" t="n"/>
      <c r="G35" s="135" t="n"/>
      <c r="H35" s="136" t="n"/>
      <c r="I35" s="27" t="n"/>
      <c r="J35" s="49" t="n"/>
      <c r="K35" s="49">
        <f>SUM(K18:K19)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50" t="inlineStr">
        <is>
          <t>C/F P.2</t>
        </is>
      </c>
    </row>
    <row r="36" ht="14.25" customHeight="1">
      <c r="A36" s="51" t="inlineStr">
        <is>
          <t>REMARKS :</t>
        </is>
      </c>
      <c r="B36" s="40" t="n"/>
      <c r="C36" s="40" t="n"/>
      <c r="D36" s="40" t="n"/>
      <c r="E36" s="40" t="n"/>
      <c r="F36" s="40" t="n"/>
      <c r="G36" s="33" t="inlineStr">
        <is>
          <t>GRAND TOTAL - DHS.</t>
        </is>
      </c>
      <c r="H36" s="9" t="n"/>
      <c r="I36" s="9" t="n"/>
      <c r="J36" s="10" t="n"/>
      <c r="K36" s="50">
        <f>K35*5%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</row>
    <row r="37" ht="14.25" customHeight="1">
      <c r="A37" s="52" t="inlineStr">
        <is>
          <t>THIS IS NOT A VAT INVOICE</t>
        </is>
      </c>
      <c r="B37" s="88" t="n"/>
      <c r="C37" s="88" t="n"/>
      <c r="D37" s="88" t="n"/>
      <c r="E37" s="88" t="n"/>
      <c r="F37" s="88" t="n"/>
      <c r="G37" s="33" t="inlineStr">
        <is>
          <t>VAT @ 5%</t>
        </is>
      </c>
      <c r="H37" s="9" t="n"/>
      <c r="I37" s="9" t="n"/>
      <c r="J37" s="10" t="n"/>
      <c r="K37" s="50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inlineStr">
        <is>
          <t>C/F ON Page 2</t>
        </is>
      </c>
    </row>
    <row r="38" ht="14.25" customHeight="1">
      <c r="A38" s="53" t="n"/>
      <c r="B38" s="88" t="inlineStr">
        <is>
          <t xml:space="preserve"> 378.00 United Arab Emirates Dirhams Only</t>
        </is>
      </c>
      <c r="C38" s="88" t="n"/>
      <c r="D38" s="88" t="n"/>
      <c r="E38" s="39" t="n"/>
      <c r="F38" s="39" t="n"/>
      <c r="G38" s="33" t="inlineStr">
        <is>
          <t>NET TOTAL - DHS.</t>
        </is>
      </c>
      <c r="H38" s="9" t="n"/>
      <c r="I38" s="9" t="n"/>
      <c r="J38" s="10" t="n"/>
      <c r="K38" s="54">
        <f>K35+K36</f>
        <v/>
      </c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28" t="inlineStr">
        <is>
          <t>TOTAL AMOUNT (AED):</t>
        </is>
      </c>
      <c r="B39" s="9" t="n"/>
      <c r="C39" s="89" t="n"/>
      <c r="D39" s="89" t="n"/>
      <c r="E39" s="89" t="n"/>
      <c r="F39" s="89" t="n"/>
      <c r="G39" s="89" t="n"/>
      <c r="H39" s="89" t="n"/>
      <c r="I39" s="89" t="n"/>
      <c r="J39" s="89" t="n"/>
      <c r="K39" s="90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8" t="inlineStr">
        <is>
          <t xml:space="preserve">Payment to be made in the name of "Global Engineering  Laboratory" against official receipt only </t>
        </is>
      </c>
      <c r="B40" s="39" t="n"/>
      <c r="C40" s="39" t="n"/>
      <c r="D40" s="55" t="n"/>
      <c r="E40" s="55" t="n"/>
      <c r="F40" s="55" t="n"/>
      <c r="G40" s="55" t="n"/>
      <c r="H40" s="55" t="n"/>
      <c r="I40" s="55" t="n"/>
      <c r="J40" s="55" t="n"/>
      <c r="K40" s="56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15" t="inlineStr">
        <is>
          <t>RECEIVER'S NAME</t>
        </is>
      </c>
      <c r="B41" s="40" t="n"/>
      <c r="C41" s="40" t="n"/>
      <c r="D41" s="40" t="n"/>
      <c r="E41" s="40" t="n"/>
      <c r="F41" s="57" t="inlineStr">
        <is>
          <t>PREPARED BY:</t>
        </is>
      </c>
      <c r="G41" s="16" t="n"/>
      <c r="H41" s="58" t="n"/>
      <c r="I41" s="15" t="inlineStr">
        <is>
          <t>APPROVED BY:</t>
        </is>
      </c>
      <c r="J41" s="16" t="n"/>
      <c r="K41" s="41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6" t="n"/>
      <c r="B42" s="88" t="n"/>
      <c r="C42" s="88" t="n"/>
      <c r="D42" s="88" t="n"/>
      <c r="E42" s="88" t="n"/>
      <c r="F42" s="83" t="n"/>
      <c r="G42" s="88" t="n"/>
      <c r="H42" s="37" t="n"/>
      <c r="I42" s="83" t="n"/>
      <c r="J42" s="83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86" t="n"/>
      <c r="B43" s="88" t="n"/>
      <c r="C43" s="88" t="n"/>
      <c r="D43" s="88" t="n"/>
      <c r="E43" s="88" t="n"/>
      <c r="F43" s="86" t="n"/>
      <c r="G43" s="88" t="n"/>
      <c r="H43" s="37" t="n"/>
      <c r="I43" s="86" t="n"/>
      <c r="J43" s="88" t="n"/>
      <c r="K43" s="3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3" t="inlineStr">
        <is>
          <t>Signature:</t>
        </is>
      </c>
      <c r="B44" s="59" t="n"/>
      <c r="C44" s="59" t="inlineStr">
        <is>
          <t>Date:</t>
        </is>
      </c>
      <c r="D44" s="39" t="n"/>
      <c r="E44" s="39" t="n"/>
      <c r="F44" s="53" t="n"/>
      <c r="G44" s="39" t="n"/>
      <c r="H44" s="44" t="n"/>
      <c r="I44" s="53" t="n"/>
      <c r="J44" s="39" t="n"/>
      <c r="K44" s="44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60" t="inlineStr">
        <is>
          <t>Queries on the details of this invoice will not be accepted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61" t="inlineStr">
        <is>
          <t>after 5 working days from the receipt date of this invoice</t>
        </is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62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  <row r="50">
      <c r="A50" s="63">
        <f>IF(X4="","","Tax Invoice No. :  "&amp;X4)</f>
        <v/>
      </c>
      <c r="B50" s="7" t="n"/>
      <c r="C50" s="7" t="n"/>
      <c r="D50" s="7" t="n"/>
      <c r="E50" s="7" t="n"/>
      <c r="F50" s="7" t="n"/>
      <c r="G50" s="7" t="n"/>
      <c r="H50" s="7" t="n"/>
      <c r="I50" s="62" t="inlineStr">
        <is>
          <t>for GLOBAL  ENGINEERING  LABORATORY</t>
        </is>
      </c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2025-12-17T11:37:08Z</dcterms:modified>
  <cp:lastModifiedBy>USER</cp:lastModifiedBy>
  <cp:lastPrinted>2025-09-04T05:46:59Z</cp:lastPrinted>
</cp:coreProperties>
</file>