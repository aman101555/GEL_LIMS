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1"/>
  <sheetViews>
    <sheetView tabSelected="1" zoomScale="78" zoomScaleNormal="55" workbookViewId="0">
      <selection activeCell="AB20" sqref="AB2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INV-CRED-2025-016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05-Dec-2025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12-Dec-2025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CREDIT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40" t="inlineStr">
        <is>
          <t xml:space="preserve"> - </t>
        </is>
      </c>
      <c r="C10" s="8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PJ-CHM-2025-004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Testing 1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RPT-2025-0016</t>
        </is>
      </c>
      <c r="B18" s="126" t="inlineStr">
        <is>
          <t>05-Dec-2025</t>
        </is>
      </c>
      <c r="C18" s="21" t="inlineStr">
        <is>
          <t>34567ASDFGHJK</t>
        </is>
      </c>
      <c r="D18" s="105" t="inlineStr">
        <is>
          <t>Standard Penetration Test</t>
        </is>
      </c>
      <c r="E18" s="106" t="inlineStr">
        <is>
          <t>ASTM D1586</t>
        </is>
      </c>
      <c r="F18" s="106" t="n"/>
      <c r="G18" s="106" t="n"/>
      <c r="H18" s="107" t="n"/>
      <c r="I18" s="21" t="n">
        <v>1</v>
      </c>
      <c r="J18" s="45" t="n">
        <v>150</v>
      </c>
      <c r="K18" s="45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>RPT-2025-0017</t>
        </is>
      </c>
      <c r="B19" t="inlineStr">
        <is>
          <t>05-Dec-2025</t>
        </is>
      </c>
      <c r="D19" t="inlineStr">
        <is>
          <t>Rebound Hammer Test</t>
        </is>
      </c>
      <c r="E19" t="inlineStr">
        <is>
          <t>ASTM C805</t>
        </is>
      </c>
      <c r="I19" t="n">
        <v>1</v>
      </c>
      <c r="J19" t="n">
        <v>30</v>
      </c>
      <c r="K19" t="n">
        <v>30</v>
      </c>
    </row>
    <row r="20" ht="14.25" customHeight="1">
      <c r="A20" t="inlineStr">
        <is>
          <t xml:space="preserve"> - </t>
        </is>
      </c>
      <c r="B20" t="inlineStr">
        <is>
          <t xml:space="preserve"> - </t>
        </is>
      </c>
      <c r="D20" t="inlineStr">
        <is>
          <t>Standard Penetration Test</t>
        </is>
      </c>
      <c r="E20" t="inlineStr">
        <is>
          <t>ASTM D1586</t>
        </is>
      </c>
      <c r="I20" t="n">
        <v>1</v>
      </c>
      <c r="J20" t="n">
        <v>150</v>
      </c>
      <c r="K20" t="n">
        <v>150</v>
      </c>
    </row>
    <row r="21" ht="14.25" customHeight="1">
      <c r="A21" s="69" t="n"/>
      <c r="B21" s="127" t="n"/>
      <c r="C21" s="69" t="n"/>
      <c r="D21" s="116" t="n"/>
      <c r="E21" s="117" t="n"/>
      <c r="F21" s="117" t="n"/>
      <c r="G21" s="117" t="n"/>
      <c r="H21" s="118" t="n"/>
      <c r="I21" s="69" t="n"/>
      <c r="J21" s="70" t="n"/>
      <c r="K21" s="70">
        <f>IF(I19="","",(I19*J19))</f>
        <v/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5" t="n"/>
      <c r="E22" s="106" t="n"/>
      <c r="F22" s="106" t="n"/>
      <c r="G22" s="106" t="n"/>
      <c r="H22" s="107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16" t="n"/>
      <c r="E23" s="117" t="n"/>
      <c r="F23" s="117" t="n"/>
      <c r="G23" s="117" t="n"/>
      <c r="H23" s="118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5" t="n"/>
      <c r="E31" s="106" t="n"/>
      <c r="F31" s="106" t="n"/>
      <c r="G31" s="106" t="n"/>
      <c r="H31" s="107" t="n"/>
      <c r="I31" s="24" t="n"/>
      <c r="J31" s="46" t="n"/>
      <c r="K31" s="46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46" t="n"/>
      <c r="K32" s="46">
        <f>IF(I30="","",(I30*J30))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8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>
        <f>IF(I31="","",(I31*J31))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4" t="n"/>
      <c r="B34" s="128" t="n"/>
      <c r="C34" s="24" t="n"/>
      <c r="D34" s="129" t="n"/>
      <c r="E34" s="130" t="n"/>
      <c r="F34" s="130" t="n"/>
      <c r="G34" s="130" t="n"/>
      <c r="H34" s="131" t="n"/>
      <c r="I34" s="24" t="n"/>
      <c r="J34" s="46" t="n"/>
      <c r="K34" s="46">
        <f>IF(I32="","",(I32*J32))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47">
        <f>SUM(K18:K34)</f>
        <v/>
      </c>
      <c r="W34" s="48" t="inlineStr">
        <is>
          <t xml:space="preserve"> Total up to this page</t>
        </is>
      </c>
    </row>
    <row r="35" ht="14.25" customHeight="1">
      <c r="A35" s="24" t="n"/>
      <c r="B35" s="128" t="n"/>
      <c r="C35" s="24" t="n"/>
      <c r="D35" s="105" t="n"/>
      <c r="E35" s="106" t="n"/>
      <c r="F35" s="106" t="n"/>
      <c r="G35" s="106" t="n"/>
      <c r="H35" s="107" t="n"/>
      <c r="I35" s="24" t="n"/>
      <c r="J35" s="46" t="n"/>
      <c r="K35" s="46" t="n">
        <v>346.5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27" t="n"/>
      <c r="B36" s="132" t="n"/>
      <c r="C36" s="27" t="n"/>
      <c r="D36" s="133" t="n"/>
      <c r="E36" s="134" t="n"/>
      <c r="F36" s="134" t="n"/>
      <c r="G36" s="134" t="n"/>
      <c r="H36" s="135" t="n"/>
      <c r="I36" s="27" t="n"/>
      <c r="J36" s="49" t="n"/>
      <c r="K36" s="49" t="n">
        <v>16.5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50" t="inlineStr">
        <is>
          <t>C/F P.2</t>
        </is>
      </c>
    </row>
    <row r="37" ht="14.25" customHeight="1">
      <c r="A37" s="51" t="inlineStr">
        <is>
          <t>REMARKS :</t>
        </is>
      </c>
      <c r="B37" s="40" t="n"/>
      <c r="C37" s="40" t="n"/>
      <c r="D37" s="40" t="n"/>
      <c r="E37" s="40" t="n"/>
      <c r="F37" s="40" t="n"/>
      <c r="G37" s="33" t="inlineStr">
        <is>
          <t>GRAND TOTAL - DHS.</t>
        </is>
      </c>
      <c r="H37" s="9" t="n"/>
      <c r="I37" s="9" t="n"/>
      <c r="J37" s="10" t="n"/>
      <c r="K37" s="50" t="n">
        <v>330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52" t="inlineStr">
        <is>
          <t>THIS IS NOT A VAT INVOICE</t>
        </is>
      </c>
      <c r="B38" s="88" t="n"/>
      <c r="C38" s="88" t="inlineStr">
        <is>
          <t xml:space="preserve"> 346.50 United Arab Emirates Dirhams Only</t>
        </is>
      </c>
      <c r="D38" s="88" t="n"/>
      <c r="E38" s="88" t="n"/>
      <c r="F38" s="88" t="n"/>
      <c r="G38" s="33" t="inlineStr">
        <is>
          <t>VAT @ 5%</t>
        </is>
      </c>
      <c r="H38" s="9" t="n"/>
      <c r="I38" s="9" t="n"/>
      <c r="J38" s="10" t="n"/>
      <c r="K38" s="50">
        <f>K35*5%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inlineStr">
        <is>
          <t>C/F ON Page 2</t>
        </is>
      </c>
    </row>
    <row r="39" ht="14.25" customHeight="1">
      <c r="A39" s="53" t="n"/>
      <c r="B39" s="88" t="n"/>
      <c r="C39" s="88" t="n"/>
      <c r="D39" s="88" t="n"/>
      <c r="E39" s="39" t="n"/>
      <c r="F39" s="39" t="n"/>
      <c r="G39" s="33" t="inlineStr">
        <is>
          <t>NET TOTAL - DHS.</t>
        </is>
      </c>
      <c r="H39" s="9" t="n"/>
      <c r="I39" s="9" t="n"/>
      <c r="J39" s="10" t="n"/>
      <c r="K39" s="54">
        <f>K35+K36</f>
        <v/>
      </c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28" t="inlineStr">
        <is>
          <t>TOTAL AMOUNT (AED):</t>
        </is>
      </c>
      <c r="B40" s="9" t="n"/>
      <c r="C40" s="89" t="n"/>
      <c r="D40" s="89" t="n"/>
      <c r="E40" s="89" t="n"/>
      <c r="F40" s="89" t="n"/>
      <c r="G40" s="89" t="n"/>
      <c r="H40" s="89" t="n"/>
      <c r="I40" s="89" t="n"/>
      <c r="J40" s="89" t="n"/>
      <c r="K40" s="90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" t="inlineStr">
        <is>
          <t xml:space="preserve">Payment to be made in the name of "Global Engineering  Laboratory" against official receipt only </t>
        </is>
      </c>
      <c r="B41" s="39" t="n"/>
      <c r="C41" s="39" t="n"/>
      <c r="D41" s="55" t="n"/>
      <c r="E41" s="55" t="n"/>
      <c r="F41" s="55" t="n"/>
      <c r="G41" s="55" t="n"/>
      <c r="H41" s="55" t="n"/>
      <c r="I41" s="55" t="n"/>
      <c r="J41" s="55" t="n"/>
      <c r="K41" s="56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15" t="inlineStr">
        <is>
          <t>RECEIVER'S NAME</t>
        </is>
      </c>
      <c r="B42" s="40" t="n"/>
      <c r="C42" s="40" t="n"/>
      <c r="D42" s="40" t="n"/>
      <c r="E42" s="40" t="n"/>
      <c r="F42" s="57" t="inlineStr">
        <is>
          <t>PREPARED BY:</t>
        </is>
      </c>
      <c r="G42" s="16" t="n"/>
      <c r="H42" s="58" t="n"/>
      <c r="I42" s="15" t="inlineStr">
        <is>
          <t>APPROVED BY:</t>
        </is>
      </c>
      <c r="J42" s="16" t="n"/>
      <c r="K42" s="41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3" t="n"/>
      <c r="G43" s="88" t="n"/>
      <c r="H43" s="37" t="n"/>
      <c r="I43" s="83" t="n"/>
      <c r="J43" s="83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86" t="n"/>
      <c r="B44" s="88" t="n"/>
      <c r="C44" s="88" t="n"/>
      <c r="D44" s="88" t="n"/>
      <c r="E44" s="88" t="n"/>
      <c r="F44" s="86" t="n"/>
      <c r="G44" s="88" t="n"/>
      <c r="H44" s="37" t="n"/>
      <c r="I44" s="86" t="n"/>
      <c r="J44" s="88" t="n"/>
      <c r="K44" s="3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3" t="inlineStr">
        <is>
          <t>Signature:</t>
        </is>
      </c>
      <c r="B45" s="59" t="n"/>
      <c r="C45" s="59" t="inlineStr">
        <is>
          <t>Date:</t>
        </is>
      </c>
      <c r="D45" s="39" t="n"/>
      <c r="E45" s="39" t="n"/>
      <c r="F45" s="53" t="n"/>
      <c r="G45" s="39" t="n"/>
      <c r="H45" s="44" t="n"/>
      <c r="I45" s="53" t="n"/>
      <c r="J45" s="39" t="n"/>
      <c r="K45" s="44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0" t="inlineStr">
        <is>
          <t>Queries on the details of this invoice will not be accepted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61" t="inlineStr">
        <is>
          <t>after 5 working days from the receipt date of this invoice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62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63">
        <f>IF(X4="","","Tax Invoice No. :  "&amp;X4)</f>
        <v/>
      </c>
      <c r="B51" s="7" t="n"/>
      <c r="C51" s="7" t="n"/>
      <c r="D51" s="7" t="n"/>
      <c r="E51" s="7" t="n"/>
      <c r="F51" s="7" t="n"/>
      <c r="G51" s="7" t="n"/>
      <c r="H51" s="7" t="n"/>
      <c r="I51" s="62" t="inlineStr">
        <is>
          <t>for GLOBAL  ENGINEERING  LABORATORY</t>
        </is>
      </c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2025-12-05T11:11:42Z</dcterms:modified>
  <cp:lastModifiedBy>USER</cp:lastModifiedBy>
  <cp:lastPrinted>2025-09-04T05:46:59Z</cp:lastPrinted>
</cp:coreProperties>
</file>