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3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INV-CASH-2025-029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PJ-NDT-2025-009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Ajman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Samp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1</v>
      </c>
      <c r="J18" s="45" t="n">
        <v>30</v>
      </c>
      <c r="K18" s="45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1</v>
      </c>
      <c r="J19" t="n">
        <v>150</v>
      </c>
      <c r="K19" t="n">
        <v>150</v>
      </c>
    </row>
    <row r="20" ht="14.25" customHeight="1">
      <c r="A20" t="inlineStr">
        <is>
          <t xml:space="preserve"> - </t>
        </is>
      </c>
      <c r="B20" t="inlineStr">
        <is>
          <t xml:space="preserve"> - </t>
        </is>
      </c>
      <c r="D20" t="inlineStr">
        <is>
          <t>Rebound Hammer Test</t>
        </is>
      </c>
      <c r="E20" t="inlineStr">
        <is>
          <t>ASTM C805</t>
        </is>
      </c>
      <c r="I20" t="n">
        <v>1</v>
      </c>
      <c r="J20" t="n">
        <v>30</v>
      </c>
      <c r="K20" t="n">
        <v>30</v>
      </c>
    </row>
    <row r="21" ht="14.25" customHeight="1">
      <c r="A21" t="inlineStr">
        <is>
          <t xml:space="preserve"> - </t>
        </is>
      </c>
      <c r="B21" t="inlineStr">
        <is>
          <t xml:space="preserve"> - </t>
        </is>
      </c>
      <c r="D21" t="inlineStr">
        <is>
          <t>Standard Penetration Test</t>
        </is>
      </c>
      <c r="E21" t="inlineStr">
        <is>
          <t>ASTM D1586</t>
        </is>
      </c>
      <c r="I21" t="n">
        <v>1</v>
      </c>
      <c r="J21" t="n">
        <v>150</v>
      </c>
      <c r="K21" t="n">
        <v>150</v>
      </c>
    </row>
    <row r="22" ht="14.25" customHeight="1">
      <c r="A22" t="inlineStr">
        <is>
          <t xml:space="preserve"> - </t>
        </is>
      </c>
      <c r="B22" t="inlineStr">
        <is>
          <t xml:space="preserve"> - </t>
        </is>
      </c>
      <c r="D22" t="inlineStr">
        <is>
          <t>Rebound Hammer Test</t>
        </is>
      </c>
      <c r="E22" t="inlineStr">
        <is>
          <t>ASTM C805</t>
        </is>
      </c>
      <c r="I22" t="n">
        <v>1</v>
      </c>
      <c r="J22" t="n">
        <v>30</v>
      </c>
      <c r="K22" t="n">
        <v>30</v>
      </c>
    </row>
    <row r="23" ht="14.25" customHeight="1">
      <c r="A23" s="69" t="n"/>
      <c r="B23" s="128" t="n"/>
      <c r="C23" s="69" t="n"/>
      <c r="D23" s="116" t="n"/>
      <c r="E23" s="117" t="n"/>
      <c r="F23" s="117" t="n"/>
      <c r="G23" s="117" t="n"/>
      <c r="H23" s="118" t="n"/>
      <c r="I23" s="69" t="n"/>
      <c r="J23" s="70" t="n"/>
      <c r="K23" s="70">
        <f>IF(I19="","",(I19*J19))</f>
        <v/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16" t="n"/>
      <c r="E25" s="117" t="n"/>
      <c r="F25" s="117" t="n"/>
      <c r="G25" s="117" t="n"/>
      <c r="H25" s="118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4" t="n"/>
      <c r="B34" s="129" t="n"/>
      <c r="C34" s="24" t="n"/>
      <c r="D34" s="130" t="n"/>
      <c r="E34" s="131" t="n"/>
      <c r="F34" s="131" t="n"/>
      <c r="G34" s="131" t="n"/>
      <c r="H34" s="132" t="n"/>
      <c r="I34" s="24" t="n"/>
      <c r="J34" s="46" t="n"/>
      <c r="K34" s="46">
        <f>IF(I30="","",(I30*J30))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4" t="n"/>
      <c r="B35" s="129" t="n"/>
      <c r="C35" s="24" t="n"/>
      <c r="D35" s="105" t="n"/>
      <c r="E35" s="106" t="n"/>
      <c r="F35" s="106" t="n"/>
      <c r="G35" s="106" t="n"/>
      <c r="H35" s="107" t="n"/>
      <c r="I35" s="24" t="n"/>
      <c r="J35" s="46" t="n"/>
      <c r="K35" s="46" t="n">
        <v>390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24" t="n"/>
      <c r="B36" s="129" t="n"/>
      <c r="C36" s="24" t="n"/>
      <c r="D36" s="130" t="n"/>
      <c r="E36" s="131" t="n"/>
      <c r="F36" s="131" t="n"/>
      <c r="G36" s="131" t="n"/>
      <c r="H36" s="132" t="n"/>
      <c r="I36" s="24" t="n"/>
      <c r="J36" s="46" t="n"/>
      <c r="K36" s="46" t="n">
        <v>0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47">
        <f>SUM(K18:K34)</f>
        <v/>
      </c>
      <c r="W36" s="48" t="inlineStr">
        <is>
          <t xml:space="preserve"> Total up to this page</t>
        </is>
      </c>
    </row>
    <row r="37" ht="14.25" customHeight="1">
      <c r="A37" s="24" t="n"/>
      <c r="B37" s="129" t="n"/>
      <c r="C37" s="24" t="n"/>
      <c r="D37" s="105" t="n"/>
      <c r="E37" s="106" t="n"/>
      <c r="F37" s="106" t="n"/>
      <c r="G37" s="106" t="n"/>
      <c r="H37" s="107" t="n"/>
      <c r="I37" s="24" t="n"/>
      <c r="J37" s="46" t="n"/>
      <c r="K37" s="46" t="n">
        <v>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7" t="n"/>
      <c r="B38" s="133" t="n"/>
      <c r="C38" s="27" t="inlineStr">
        <is>
          <t xml:space="preserve"> 409.50 United Arab Emirates Dirhams Only</t>
        </is>
      </c>
      <c r="D38" s="134" t="n"/>
      <c r="E38" s="135" t="n"/>
      <c r="F38" s="135" t="n"/>
      <c r="G38" s="135" t="n"/>
      <c r="H38" s="136" t="n"/>
      <c r="I38" s="27" t="n"/>
      <c r="J38" s="49" t="n"/>
      <c r="K38" s="49">
        <f>IF(I34="","",(I34*J34))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50" t="inlineStr">
        <is>
          <t>C/F P.2</t>
        </is>
      </c>
    </row>
    <row r="39" ht="14.25" customHeight="1">
      <c r="A39" s="51" t="inlineStr">
        <is>
          <t>REMARKS :</t>
        </is>
      </c>
      <c r="B39" s="40" t="n"/>
      <c r="C39" s="40" t="n"/>
      <c r="D39" s="40" t="n"/>
      <c r="E39" s="40" t="n"/>
      <c r="F39" s="40" t="n"/>
      <c r="G39" s="33" t="inlineStr">
        <is>
          <t>GRAND TOTAL - DHS.</t>
        </is>
      </c>
      <c r="H39" s="9" t="n"/>
      <c r="I39" s="9" t="n"/>
      <c r="J39" s="10" t="n"/>
      <c r="K39" s="50">
        <f>SUM(K18:K34)</f>
        <v/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52" t="inlineStr">
        <is>
          <t>THIS IS NOT A VAT INVOICE</t>
        </is>
      </c>
      <c r="B40" s="88" t="n"/>
      <c r="C40" s="88" t="n"/>
      <c r="D40" s="88" t="n"/>
      <c r="E40" s="88" t="n"/>
      <c r="F40" s="88" t="n"/>
      <c r="G40" s="33" t="inlineStr">
        <is>
          <t>VAT @ 5%</t>
        </is>
      </c>
      <c r="H40" s="9" t="n"/>
      <c r="I40" s="9" t="n"/>
      <c r="J40" s="10" t="n"/>
      <c r="K40" s="50">
        <f>K35*5%</f>
        <v/>
      </c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inlineStr">
        <is>
          <t>C/F ON Page 2</t>
        </is>
      </c>
    </row>
    <row r="41" ht="8.25" customHeight="1">
      <c r="A41" s="53" t="n"/>
      <c r="B41" s="88" t="n"/>
      <c r="C41" s="88" t="n"/>
      <c r="D41" s="88" t="n"/>
      <c r="E41" s="39" t="n"/>
      <c r="F41" s="39" t="n"/>
      <c r="G41" s="33" t="inlineStr">
        <is>
          <t>NET TOTAL - DHS.</t>
        </is>
      </c>
      <c r="H41" s="9" t="n"/>
      <c r="I41" s="9" t="n"/>
      <c r="J41" s="10" t="n"/>
      <c r="K41" s="54">
        <f>K35+K36</f>
        <v/>
      </c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28" t="inlineStr">
        <is>
          <t>TOTAL AMOUNT (AED):</t>
        </is>
      </c>
      <c r="B42" s="9" t="n"/>
      <c r="C42" s="89" t="n"/>
      <c r="D42" s="89" t="n"/>
      <c r="E42" s="89" t="n"/>
      <c r="F42" s="89" t="n"/>
      <c r="G42" s="89" t="n"/>
      <c r="H42" s="89" t="n"/>
      <c r="I42" s="89" t="n"/>
      <c r="J42" s="89" t="n"/>
      <c r="K42" s="9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" t="inlineStr">
        <is>
          <t xml:space="preserve">Payment to be made in the name of "Global Engineering  Laboratory" against official receipt only </t>
        </is>
      </c>
      <c r="B43" s="39" t="n"/>
      <c r="C43" s="39" t="n"/>
      <c r="D43" s="55" t="n"/>
      <c r="E43" s="55" t="n"/>
      <c r="F43" s="55" t="n"/>
      <c r="G43" s="55" t="n"/>
      <c r="H43" s="55" t="n"/>
      <c r="I43" s="55" t="n"/>
      <c r="J43" s="55" t="n"/>
      <c r="K43" s="56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15" t="inlineStr">
        <is>
          <t>RECEIVER'S NAME</t>
        </is>
      </c>
      <c r="B44" s="40" t="n"/>
      <c r="C44" s="40" t="n"/>
      <c r="D44" s="40" t="n"/>
      <c r="E44" s="40" t="n"/>
      <c r="F44" s="57" t="inlineStr">
        <is>
          <t>PREPARED BY:</t>
        </is>
      </c>
      <c r="G44" s="16" t="n"/>
      <c r="H44" s="58" t="n"/>
      <c r="I44" s="15" t="inlineStr">
        <is>
          <t>APPROVED BY:</t>
        </is>
      </c>
      <c r="J44" s="16" t="n"/>
      <c r="K44" s="41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86" t="n"/>
      <c r="B45" s="88" t="n"/>
      <c r="C45" s="88" t="n"/>
      <c r="D45" s="88" t="n"/>
      <c r="E45" s="88" t="n"/>
      <c r="F45" s="83" t="n"/>
      <c r="G45" s="88" t="n"/>
      <c r="H45" s="37" t="n"/>
      <c r="I45" s="83" t="n"/>
      <c r="J45" s="83" t="n"/>
      <c r="K45" s="3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86" t="n"/>
      <c r="B46" s="88" t="n"/>
      <c r="C46" s="88" t="n"/>
      <c r="D46" s="88" t="n"/>
      <c r="E46" s="88" t="n"/>
      <c r="F46" s="86" t="n"/>
      <c r="G46" s="88" t="n"/>
      <c r="H46" s="37" t="n"/>
      <c r="I46" s="86" t="n"/>
      <c r="J46" s="88" t="n"/>
      <c r="K46" s="3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53" t="inlineStr">
        <is>
          <t>Signature:</t>
        </is>
      </c>
      <c r="B47" s="59" t="n"/>
      <c r="C47" s="59" t="inlineStr">
        <is>
          <t>Date:</t>
        </is>
      </c>
      <c r="D47" s="39" t="n"/>
      <c r="E47" s="39" t="n"/>
      <c r="F47" s="53" t="n"/>
      <c r="G47" s="39" t="n"/>
      <c r="H47" s="44" t="n"/>
      <c r="I47" s="53" t="n"/>
      <c r="J47" s="39" t="n"/>
      <c r="K47" s="44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60" t="inlineStr">
        <is>
          <t>Queries on the details of this invoice will not be accepted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1" t="inlineStr">
        <is>
          <t>after 5 working days from the receipt date of this invoice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62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63">
        <f>IF(X4="","","Tax Invoice No. :  "&amp;X4)</f>
        <v/>
      </c>
      <c r="B53" s="7" t="n"/>
      <c r="C53" s="7" t="n"/>
      <c r="D53" s="7" t="n"/>
      <c r="E53" s="7" t="n"/>
      <c r="F53" s="7" t="n"/>
      <c r="G53" s="7" t="n"/>
      <c r="H53" s="7" t="n"/>
      <c r="I53" s="62" t="inlineStr">
        <is>
          <t>for GLOBAL  ENGINEERING  LABORATORY</t>
        </is>
      </c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2025-12-08T08:55:23Z</dcterms:modified>
  <cp:lastModifiedBy>USER</cp:lastModifiedBy>
  <cp:lastPrinted>2025-09-04T05:46:59Z</cp:lastPrinted>
</cp:coreProperties>
</file>