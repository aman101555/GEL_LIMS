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DF3F5AA1-4B1F-4CFB-8EB5-936097F95FB2}" xr6:coauthVersionLast="34" xr6:coauthVersionMax="34" xr10:uidLastSave="{00000000-0000-0000-0000-000000000000}"/>
  <bookViews>
    <workbookView xWindow="240" yWindow="108" windowWidth="14808" windowHeight="8016" activeTab="1" xr2:uid="{00000000-000D-0000-FFFF-FFFF00000000}"/>
  </bookViews>
  <sheets>
    <sheet name="Data input" sheetId="1" r:id="rId1"/>
    <sheet name="Report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13" i="2" l="1"/>
  <c r="E10" i="2"/>
  <c r="E8" i="2"/>
  <c r="E7" i="2"/>
  <c r="K45" i="1" l="1"/>
  <c r="M45" i="1" s="1"/>
  <c r="K43" i="1"/>
  <c r="M43" i="1" s="1"/>
  <c r="K41" i="1"/>
  <c r="M41" i="1" s="1"/>
  <c r="K39" i="1"/>
  <c r="M39" i="1" s="1"/>
  <c r="K37" i="1"/>
  <c r="M37" i="1" s="1"/>
  <c r="K35" i="1"/>
  <c r="M35" i="1" s="1"/>
  <c r="K33" i="1"/>
  <c r="M33" i="1" s="1"/>
  <c r="K31" i="1"/>
  <c r="P32" i="1" l="1"/>
  <c r="M31" i="1"/>
  <c r="E23" i="2"/>
  <c r="E22" i="2"/>
  <c r="N20" i="2"/>
  <c r="N19" i="2"/>
  <c r="N18" i="2"/>
  <c r="N17" i="2"/>
  <c r="E20" i="2"/>
  <c r="E19" i="2"/>
  <c r="E16" i="2"/>
  <c r="E18" i="2"/>
  <c r="E17" i="2"/>
  <c r="L45" i="1"/>
  <c r="L43" i="1"/>
  <c r="L41" i="1"/>
  <c r="L39" i="1"/>
  <c r="L37" i="1"/>
  <c r="L35" i="1"/>
  <c r="L33" i="1"/>
  <c r="L31" i="1"/>
  <c r="B28" i="2"/>
  <c r="B30" i="2"/>
  <c r="B32" i="2"/>
  <c r="B34" i="2"/>
  <c r="B36" i="2"/>
  <c r="B38" i="2"/>
  <c r="B40" i="2"/>
  <c r="B26" i="2"/>
  <c r="A40" i="2"/>
  <c r="A38" i="2"/>
  <c r="A36" i="2"/>
  <c r="A34" i="2"/>
  <c r="A32" i="2"/>
  <c r="A30" i="2"/>
  <c r="A28" i="2"/>
  <c r="A26" i="2"/>
  <c r="N33" i="1" l="1"/>
  <c r="N37" i="1"/>
  <c r="N41" i="1"/>
  <c r="N45" i="1"/>
  <c r="N35" i="1"/>
  <c r="N39" i="1"/>
  <c r="N43" i="1"/>
  <c r="N31" i="1"/>
</calcChain>
</file>

<file path=xl/sharedStrings.xml><?xml version="1.0" encoding="utf-8"?>
<sst xmlns="http://schemas.openxmlformats.org/spreadsheetml/2006/main" count="258" uniqueCount="112">
  <si>
    <t>WORKSHEET FOR SURFACE HARDNESS TEST BY REBOUND HAMMER</t>
  </si>
  <si>
    <t>Information provided to the Laboratory:</t>
  </si>
  <si>
    <t>Contractor</t>
  </si>
  <si>
    <t>:</t>
  </si>
  <si>
    <t>Client</t>
  </si>
  <si>
    <t>Consultant</t>
  </si>
  <si>
    <t>Project</t>
  </si>
  <si>
    <t>Description of structure</t>
  </si>
  <si>
    <t>Reference measurement</t>
  </si>
  <si>
    <t>(before test)</t>
  </si>
  <si>
    <t>(after test)</t>
  </si>
  <si>
    <t>Reference used</t>
  </si>
  <si>
    <t>Compression Machine Platen for DTM-</t>
  </si>
  <si>
    <t>Hammer equipment Id.</t>
  </si>
  <si>
    <t>Hammer type</t>
  </si>
  <si>
    <t>Correlated property</t>
  </si>
  <si>
    <t>Source of correlation</t>
  </si>
  <si>
    <t>Correlation curves of resistance to compression, provided by manufacturer</t>
  </si>
  <si>
    <t>Type of surface</t>
  </si>
  <si>
    <t>Surface moisture condition</t>
  </si>
  <si>
    <t>Direction of test</t>
  </si>
  <si>
    <t>Test positions</t>
  </si>
  <si>
    <t>Note:  N/A indicates information not applicable</t>
  </si>
  <si>
    <t>Result</t>
  </si>
  <si>
    <t>Rebound Hammer readings</t>
  </si>
  <si>
    <t>Range</t>
  </si>
  <si>
    <t>P.O.Box 31758-Dubai, UAE. Tel +971 4 3205363, Fax +971 4 3205373, e-mail: glab@eim.ae</t>
  </si>
  <si>
    <r>
      <t>ELE Normal type, range 10 to 70 N/mm</t>
    </r>
    <r>
      <rPr>
        <vertAlign val="superscript"/>
        <sz val="9"/>
        <color theme="1"/>
        <rFont val="Arial"/>
        <family val="2"/>
      </rPr>
      <t>2</t>
    </r>
  </si>
  <si>
    <r>
      <t>Compressive strength in N/mm</t>
    </r>
    <r>
      <rPr>
        <vertAlign val="superscript"/>
        <sz val="9"/>
        <color theme="1"/>
        <rFont val="Arial"/>
        <family val="2"/>
      </rPr>
      <t>2</t>
    </r>
  </si>
  <si>
    <t>Test No.</t>
  </si>
  <si>
    <t>Test Location</t>
  </si>
  <si>
    <t>Standard Deviation</t>
  </si>
  <si>
    <t>Coefficient of variation (%)</t>
  </si>
  <si>
    <t>Correlated Strength (N/mm2)</t>
  </si>
  <si>
    <t>Report Date :</t>
  </si>
  <si>
    <t>Request No :</t>
  </si>
  <si>
    <t>Sample No :</t>
  </si>
  <si>
    <t>Tested by :</t>
  </si>
  <si>
    <t xml:space="preserve">Test method used </t>
  </si>
  <si>
    <t>Authorised Signatory</t>
  </si>
  <si>
    <t>Check test</t>
  </si>
  <si>
    <t>(before test) / NT (after test), using NT</t>
  </si>
  <si>
    <t>Test Result</t>
  </si>
  <si>
    <t>ID No.</t>
  </si>
  <si>
    <t>Location</t>
  </si>
  <si>
    <t>Rebound Measurements</t>
  </si>
  <si>
    <t>Mean</t>
  </si>
  <si>
    <t>Reference anvil  not used</t>
  </si>
  <si>
    <t>Horizontal</t>
  </si>
  <si>
    <t>Column-1</t>
  </si>
  <si>
    <t>Column-2</t>
  </si>
  <si>
    <t/>
  </si>
  <si>
    <t>Std. Dev.</t>
  </si>
  <si>
    <t>REPORT ON SURFACE HARDNESS TESTING BY REBOUND HAMMER</t>
  </si>
  <si>
    <t xml:space="preserve">Type of concrete : </t>
  </si>
  <si>
    <t xml:space="preserve">Date cast : </t>
  </si>
  <si>
    <t>Coeff. Of Var.%</t>
  </si>
  <si>
    <t>Correlated Strength N/mm2</t>
  </si>
  <si>
    <t xml:space="preserve">Lab Project No </t>
  </si>
  <si>
    <t>Report No :</t>
  </si>
  <si>
    <t>Column-3</t>
  </si>
  <si>
    <t>Column-4</t>
  </si>
  <si>
    <t>Column-5</t>
  </si>
  <si>
    <t>Column-6</t>
  </si>
  <si>
    <t>Column-7</t>
  </si>
  <si>
    <t>Column-8</t>
  </si>
  <si>
    <t xml:space="preserve">Test method variation </t>
  </si>
  <si>
    <t>NG</t>
  </si>
  <si>
    <t>SRH-1</t>
  </si>
  <si>
    <t>Normal</t>
  </si>
  <si>
    <t>Evenly spaced along length of column each 16 no. readings on approx.3cm grid.</t>
  </si>
  <si>
    <t>Results relate only to the location tested</t>
  </si>
  <si>
    <t>This report shall not be reproduced except in full, without the written approval of the laboratory</t>
  </si>
  <si>
    <t>Any unauthorized amendment/correction will invalidate this test report</t>
  </si>
  <si>
    <t>Remarks</t>
  </si>
  <si>
    <t>Date of test :</t>
  </si>
  <si>
    <t>Column</t>
  </si>
  <si>
    <t>Rough(Dry)</t>
  </si>
  <si>
    <t>Note: NG- Not Given</t>
  </si>
  <si>
    <t>Test Method</t>
  </si>
  <si>
    <t>Test Method Variation</t>
  </si>
  <si>
    <t>Nil</t>
  </si>
  <si>
    <t>Plot No</t>
  </si>
  <si>
    <t>Reference Used</t>
  </si>
  <si>
    <r>
      <t xml:space="preserve">Surface moisture condition      </t>
    </r>
    <r>
      <rPr>
        <b/>
        <sz val="9"/>
        <color theme="1"/>
        <rFont val="Arial"/>
        <family val="2"/>
      </rPr>
      <t>:</t>
    </r>
  </si>
  <si>
    <r>
      <t xml:space="preserve">Report No </t>
    </r>
    <r>
      <rPr>
        <b/>
        <sz val="9"/>
        <color theme="1"/>
        <rFont val="Arial"/>
        <family val="2"/>
      </rPr>
      <t>:</t>
    </r>
  </si>
  <si>
    <r>
      <t xml:space="preserve">Report Date  </t>
    </r>
    <r>
      <rPr>
        <b/>
        <sz val="9"/>
        <color theme="1"/>
        <rFont val="Arial"/>
        <family val="2"/>
      </rPr>
      <t>:</t>
    </r>
  </si>
  <si>
    <r>
      <t xml:space="preserve">Request No </t>
    </r>
    <r>
      <rPr>
        <b/>
        <sz val="9"/>
        <color theme="1"/>
        <rFont val="Arial"/>
        <family val="2"/>
      </rPr>
      <t>:</t>
    </r>
  </si>
  <si>
    <r>
      <t xml:space="preserve">Sample No </t>
    </r>
    <r>
      <rPr>
        <b/>
        <sz val="9"/>
        <color theme="1"/>
        <rFont val="Arial"/>
        <family val="2"/>
      </rPr>
      <t>:</t>
    </r>
  </si>
  <si>
    <r>
      <t xml:space="preserve">Lab Project No </t>
    </r>
    <r>
      <rPr>
        <b/>
        <sz val="9"/>
        <color theme="1"/>
        <rFont val="Arial"/>
        <family val="2"/>
      </rPr>
      <t>:</t>
    </r>
  </si>
  <si>
    <r>
      <t xml:space="preserve">Date of test </t>
    </r>
    <r>
      <rPr>
        <b/>
        <sz val="9"/>
        <color theme="1"/>
        <rFont val="Arial"/>
        <family val="2"/>
      </rPr>
      <t>:</t>
    </r>
  </si>
  <si>
    <r>
      <t xml:space="preserve">Tested by </t>
    </r>
    <r>
      <rPr>
        <b/>
        <sz val="9"/>
        <color theme="1"/>
        <rFont val="Arial"/>
        <family val="2"/>
      </rPr>
      <t>:</t>
    </r>
  </si>
  <si>
    <r>
      <t xml:space="preserve">Spot located by </t>
    </r>
    <r>
      <rPr>
        <b/>
        <sz val="9"/>
        <color theme="1"/>
        <rFont val="Arial"/>
        <family val="2"/>
      </rPr>
      <t>:</t>
    </r>
  </si>
  <si>
    <r>
      <t xml:space="preserve">Type of concrete </t>
    </r>
    <r>
      <rPr>
        <b/>
        <sz val="9"/>
        <color theme="1"/>
        <rFont val="Arial"/>
        <family val="2"/>
      </rPr>
      <t>:</t>
    </r>
  </si>
  <si>
    <r>
      <t xml:space="preserve">Date cast  </t>
    </r>
    <r>
      <rPr>
        <b/>
        <sz val="9"/>
        <color theme="1"/>
        <rFont val="Arial"/>
        <family val="2"/>
      </rPr>
      <t>:</t>
    </r>
  </si>
  <si>
    <r>
      <t xml:space="preserve">Type of surface </t>
    </r>
    <r>
      <rPr>
        <b/>
        <sz val="9"/>
        <color theme="1"/>
        <rFont val="Arial"/>
        <family val="2"/>
      </rPr>
      <t>:</t>
    </r>
  </si>
  <si>
    <r>
      <t xml:space="preserve">Direction of test </t>
    </r>
    <r>
      <rPr>
        <b/>
        <sz val="9"/>
        <color theme="1"/>
        <rFont val="Arial"/>
        <family val="2"/>
      </rPr>
      <t>:</t>
    </r>
  </si>
  <si>
    <t>Horizontal/Vertical</t>
  </si>
  <si>
    <t>Note: NG - Not Given</t>
  </si>
  <si>
    <t xml:space="preserve">Total No of readings taken </t>
  </si>
  <si>
    <t>Vertically down</t>
  </si>
  <si>
    <t>Vertically Up</t>
  </si>
  <si>
    <t>X</t>
  </si>
  <si>
    <t>P.O.Box 31758, Dubai - U.A.E. Tel : +971 4 3205363, Fax : +971 4 3205373, e-mail : glab@eim.ae</t>
  </si>
  <si>
    <t>BS EN 12504-2:2021</t>
  </si>
  <si>
    <t>GR-</t>
  </si>
  <si>
    <t>00/00/0000</t>
  </si>
  <si>
    <t>GQ-</t>
  </si>
  <si>
    <t>LP-</t>
  </si>
  <si>
    <t>M/s. 0</t>
  </si>
  <si>
    <t>GS-</t>
  </si>
  <si>
    <t>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</si>
</sst>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.0"/>
    <numFmt numFmtId="166" formatCode="dd/mm/yyyy;@"/>
  </numFmts>
  <fonts count="19" x14ac:knownFonts="1">
    <font>
      <sz val="11"/>
      <color theme="1"/>
      <name val="Calibri"/>
      <family val="2"/>
      <scheme val="minor"/>
    </font>
    <font>
      <b/>
      <sz val="9.5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Times New Roman"/>
      <family val="1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9.5"/>
      <color theme="1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 applyProtection="1">
      <protection locked="0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/>
    </xf>
    <xf numFmtId="0" fontId="0" fillId="0" borderId="8" xfId="0" applyBorder="1"/>
    <xf numFmtId="0" fontId="14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64" fontId="15" fillId="0" borderId="9" xfId="0" applyNumberFormat="1" applyFont="1" applyBorder="1" applyAlignment="1">
      <alignment horizontal="left"/>
    </xf>
    <xf numFmtId="164" fontId="15" fillId="0" borderId="0" xfId="0" applyNumberFormat="1" applyFont="1" applyAlignment="1">
      <alignment horizontal="left"/>
    </xf>
    <xf numFmtId="164" fontId="15" fillId="0" borderId="0" xfId="0" applyNumberFormat="1" applyFont="1"/>
    <xf numFmtId="0" fontId="7" fillId="0" borderId="0" xfId="0" applyFont="1" applyAlignment="1">
      <alignment horizontal="center"/>
    </xf>
    <xf numFmtId="0" fontId="4" fillId="0" borderId="0" xfId="0" applyFont="1" applyBorder="1" applyAlignment="1">
      <alignment vertical="center"/>
    </xf>
    <xf numFmtId="164" fontId="16" fillId="0" borderId="0" xfId="0" applyNumberFormat="1" applyFont="1" applyFill="1" applyBorder="1" applyAlignment="1" applyProtection="1">
      <alignment horizontal="left"/>
    </xf>
    <xf numFmtId="164" fontId="17" fillId="0" borderId="0" xfId="0" applyNumberFormat="1" applyFont="1" applyAlignment="1"/>
    <xf numFmtId="0" fontId="0" fillId="0" borderId="0" xfId="0" applyBorder="1" applyAlignment="1">
      <alignment horizontal="right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18" fillId="0" borderId="0" xfId="0" applyFont="1"/>
    <xf numFmtId="164" fontId="15" fillId="0" borderId="8" xfId="0" applyNumberFormat="1" applyFont="1" applyBorder="1" applyAlignment="1">
      <alignment horizontal="left"/>
    </xf>
    <xf numFmtId="164" fontId="15" fillId="0" borderId="0" xfId="0" applyNumberFormat="1" applyFont="1" applyBorder="1" applyAlignment="1">
      <alignment horizontal="left"/>
    </xf>
    <xf numFmtId="164" fontId="15" fillId="0" borderId="0" xfId="0" applyNumberFormat="1" applyFont="1" applyBorder="1"/>
    <xf numFmtId="0" fontId="11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2" fontId="0" fillId="0" borderId="0" xfId="0" applyNumberFormat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4" fontId="15" fillId="0" borderId="9" xfId="0" applyNumberFormat="1" applyFont="1" applyBorder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4" fontId="15" fillId="0" borderId="0" xfId="0" applyNumberFormat="1" applyFont="1" applyProtection="1"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7" fillId="2" borderId="2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horizontal="left"/>
    </xf>
    <xf numFmtId="0" fontId="0" fillId="2" borderId="11" xfId="0" applyFill="1" applyBorder="1" applyAlignment="1" applyProtection="1">
      <alignment horizontal="left"/>
    </xf>
    <xf numFmtId="0" fontId="0" fillId="2" borderId="12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0" fillId="2" borderId="2" xfId="0" applyFill="1" applyBorder="1" applyAlignment="1" applyProtection="1">
      <alignment horizontal="left"/>
    </xf>
    <xf numFmtId="0" fontId="0" fillId="2" borderId="14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2" borderId="1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2" xfId="0" applyFill="1" applyBorder="1" applyProtection="1"/>
    <xf numFmtId="0" fontId="0" fillId="2" borderId="14" xfId="0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center"/>
    </xf>
    <xf numFmtId="0" fontId="0" fillId="2" borderId="16" xfId="0" applyFill="1" applyBorder="1" applyAlignment="1" applyProtection="1">
      <alignment horizontal="center"/>
    </xf>
    <xf numFmtId="0" fontId="0" fillId="2" borderId="17" xfId="0" applyFill="1" applyBorder="1" applyAlignment="1" applyProtection="1">
      <alignment horizontal="center"/>
    </xf>
    <xf numFmtId="0" fontId="4" fillId="0" borderId="18" xfId="0" applyFont="1" applyBorder="1" applyAlignment="1" applyProtection="1">
      <alignment wrapText="1"/>
      <protection locked="0"/>
    </xf>
    <xf numFmtId="0" fontId="0" fillId="0" borderId="1" xfId="0" applyBorder="1" applyAlignment="1">
      <alignment horizontal="right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166" fontId="4" fillId="0" borderId="0" xfId="0" applyNumberFormat="1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0" fillId="2" borderId="19" xfId="0" applyFill="1" applyBorder="1" applyAlignment="1" applyProtection="1">
      <alignment horizontal="center" wrapText="1"/>
    </xf>
    <xf numFmtId="0" fontId="0" fillId="2" borderId="20" xfId="0" applyFill="1" applyBorder="1" applyAlignment="1" applyProtection="1">
      <alignment horizontal="center" wrapText="1"/>
    </xf>
    <xf numFmtId="0" fontId="0" fillId="0" borderId="2" xfId="0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wrapText="1"/>
    </xf>
    <xf numFmtId="0" fontId="0" fillId="2" borderId="7" xfId="0" applyFill="1" applyBorder="1" applyAlignment="1" applyProtection="1">
      <alignment horizontal="center" wrapText="1"/>
    </xf>
    <xf numFmtId="1" fontId="0" fillId="0" borderId="2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4" fontId="4" fillId="0" borderId="0" xfId="0" applyNumberFormat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2" fontId="0" fillId="0" borderId="2" xfId="0" applyNumberFormat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</xf>
    <xf numFmtId="2" fontId="0" fillId="0" borderId="7" xfId="0" applyNumberFormat="1" applyBorder="1" applyAlignment="1" applyProtection="1">
      <alignment horizontal="center" vertical="center"/>
    </xf>
    <xf numFmtId="165" fontId="0" fillId="0" borderId="2" xfId="0" applyNumberFormat="1" applyBorder="1" applyAlignment="1" applyProtection="1">
      <alignment horizontal="center" vertic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142875</xdr:colOff>
      <xdr:row>2</xdr:row>
      <xdr:rowOff>164524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5050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47948</xdr:colOff>
      <xdr:row>0</xdr:row>
      <xdr:rowOff>234</xdr:rowOff>
    </xdr:from>
    <xdr:to>
      <xdr:col>15</xdr:col>
      <xdr:colOff>0</xdr:colOff>
      <xdr:row>3</xdr:row>
      <xdr:rowOff>48757</xdr:rowOff>
    </xdr:to>
    <xdr:grpSp>
      <xdr:nvGrpSpPr>
        <xdr:cNvPr id="16" name="Group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 bwMode="auto">
        <a:xfrm>
          <a:off x="2181548" y="234"/>
          <a:ext cx="4266877" cy="629548"/>
          <a:chOff x="3614" y="348"/>
          <a:chExt cx="3571" cy="659"/>
        </a:xfrm>
      </xdr:grpSpPr>
      <xdr:sp macro="" textlink="">
        <xdr:nvSpPr>
          <xdr:cNvPr id="17" name="Text Box 7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3" y="348"/>
            <a:ext cx="2921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18" name="Text Box 7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209550</xdr:colOff>
      <xdr:row>1</xdr:row>
      <xdr:rowOff>123825</xdr:rowOff>
    </xdr:from>
    <xdr:to>
      <xdr:col>19</xdr:col>
      <xdr:colOff>361950</xdr:colOff>
      <xdr:row>2</xdr:row>
      <xdr:rowOff>180975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096375" y="323850"/>
          <a:ext cx="152400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266700</xdr:colOff>
      <xdr:row>1</xdr:row>
      <xdr:rowOff>95250</xdr:rowOff>
    </xdr:from>
    <xdr:to>
      <xdr:col>23</xdr:col>
      <xdr:colOff>419100</xdr:colOff>
      <xdr:row>3</xdr:row>
      <xdr:rowOff>9525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725275" y="295275"/>
          <a:ext cx="152400" cy="2952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190500</xdr:colOff>
      <xdr:row>2</xdr:row>
      <xdr:rowOff>9525</xdr:rowOff>
    </xdr:from>
    <xdr:to>
      <xdr:col>21</xdr:col>
      <xdr:colOff>428625</xdr:colOff>
      <xdr:row>2</xdr:row>
      <xdr:rowOff>142875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296525" y="400050"/>
          <a:ext cx="238125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14</xdr:col>
      <xdr:colOff>829311</xdr:colOff>
      <xdr:row>2</xdr:row>
      <xdr:rowOff>76200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14600" y="0"/>
          <a:ext cx="3943986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7</xdr:col>
      <xdr:colOff>48260</xdr:colOff>
      <xdr:row>1</xdr:row>
      <xdr:rowOff>134410</xdr:rowOff>
    </xdr:from>
    <xdr:to>
      <xdr:col>14</xdr:col>
      <xdr:colOff>838835</xdr:colOff>
      <xdr:row>4</xdr:row>
      <xdr:rowOff>30693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24760" y="286810"/>
          <a:ext cx="3943350" cy="3534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7</xdr:col>
      <xdr:colOff>304800</xdr:colOff>
      <xdr:row>4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34B0D5-C643-45F6-AAE0-11EE7AAF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0"/>
          <a:ext cx="2651760" cy="640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5</xdr:col>
      <xdr:colOff>238125</xdr:colOff>
      <xdr:row>2</xdr:row>
      <xdr:rowOff>164524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0478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86048</xdr:colOff>
      <xdr:row>0</xdr:row>
      <xdr:rowOff>234</xdr:rowOff>
    </xdr:from>
    <xdr:to>
      <xdr:col>15</xdr:col>
      <xdr:colOff>38100</xdr:colOff>
      <xdr:row>3</xdr:row>
      <xdr:rowOff>48757</xdr:rowOff>
    </xdr:to>
    <xdr:grpSp>
      <xdr:nvGrpSpPr>
        <xdr:cNvPr id="7" name="Group 7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 bwMode="auto">
        <a:xfrm>
          <a:off x="2143448" y="234"/>
          <a:ext cx="4057327" cy="620023"/>
          <a:chOff x="3614" y="348"/>
          <a:chExt cx="3571" cy="659"/>
        </a:xfrm>
      </xdr:grpSpPr>
      <xdr:sp macro="" textlink="">
        <xdr:nvSpPr>
          <xdr:cNvPr id="8" name="Text Box 7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66" y="348"/>
            <a:ext cx="3062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9" name="Text Box 7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opLeftCell="A13" workbookViewId="0">
      <selection activeCell="D48" sqref="D48"/>
    </sheetView>
  </sheetViews>
  <sheetFormatPr defaultColWidth="9.109375" defaultRowHeight="14.4" x14ac:dyDescent="0.3"/>
  <cols>
    <col min="1" max="1" width="6.5546875" style="1" customWidth="1"/>
    <col min="2" max="2" width="10.5546875" style="1" customWidth="1"/>
    <col min="3" max="10" width="3.6640625" style="1" customWidth="1"/>
    <col min="11" max="11" width="7.5546875" style="1" customWidth="1"/>
    <col min="12" max="12" width="7.33203125" style="1" customWidth="1"/>
    <col min="13" max="13" width="13.44140625" style="1" customWidth="1"/>
    <col min="14" max="14" width="11" style="1" customWidth="1"/>
    <col min="15" max="15" width="10.5546875" style="1" customWidth="1"/>
    <col min="16" max="21" width="9.109375" style="1"/>
    <col min="22" max="23" width="10.109375" style="1" customWidth="1"/>
    <col min="24" max="16384" width="9.109375" style="1"/>
  </cols>
  <sheetData>
    <row r="1" spans="1:26" ht="15" thickTop="1" x14ac:dyDescent="0.3">
      <c r="S1" s="88"/>
      <c r="T1" s="89">
        <v>1</v>
      </c>
      <c r="U1" s="89"/>
      <c r="V1" s="89">
        <v>2</v>
      </c>
      <c r="W1" s="89"/>
      <c r="X1" s="90">
        <v>3</v>
      </c>
    </row>
    <row r="2" spans="1:26" x14ac:dyDescent="0.3">
      <c r="S2" s="91"/>
      <c r="T2" s="92"/>
      <c r="U2" s="92"/>
      <c r="V2" s="92"/>
      <c r="W2" s="92"/>
      <c r="X2" s="93"/>
    </row>
    <row r="3" spans="1:26" x14ac:dyDescent="0.3">
      <c r="S3" s="91"/>
      <c r="T3" s="92"/>
      <c r="U3" s="92"/>
      <c r="V3" s="92"/>
      <c r="W3" s="92"/>
      <c r="X3" s="93"/>
    </row>
    <row r="4" spans="1:26" ht="12" customHeight="1" x14ac:dyDescent="0.3">
      <c r="A4" s="122" t="s">
        <v>26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4"/>
      <c r="Q4" s="4"/>
      <c r="R4" s="4"/>
      <c r="S4" s="91"/>
      <c r="T4" s="119" t="s">
        <v>100</v>
      </c>
      <c r="U4" s="92"/>
      <c r="V4" s="119" t="s">
        <v>48</v>
      </c>
      <c r="W4" s="92"/>
      <c r="X4" s="116" t="s">
        <v>101</v>
      </c>
      <c r="Y4" s="4"/>
    </row>
    <row r="5" spans="1:26" ht="20.100000000000001" customHeight="1" x14ac:dyDescent="0.3">
      <c r="A5" s="125" t="s">
        <v>0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S5" s="94"/>
      <c r="T5" s="120"/>
      <c r="U5" s="95"/>
      <c r="V5" s="120"/>
      <c r="W5" s="95"/>
      <c r="X5" s="117"/>
    </row>
    <row r="6" spans="1:26" x14ac:dyDescent="0.3">
      <c r="A6" s="53" t="s">
        <v>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S6" s="96" t="s">
        <v>102</v>
      </c>
      <c r="T6" s="97"/>
      <c r="U6" s="97" t="s">
        <v>102</v>
      </c>
      <c r="V6" s="98"/>
      <c r="W6" s="97" t="s">
        <v>102</v>
      </c>
      <c r="X6" s="99"/>
    </row>
    <row r="7" spans="1:26" s="59" customFormat="1" ht="15" customHeight="1" x14ac:dyDescent="0.3">
      <c r="A7" s="55" t="s">
        <v>2</v>
      </c>
      <c r="B7" s="56"/>
      <c r="C7" s="56"/>
      <c r="D7" s="57" t="s">
        <v>3</v>
      </c>
      <c r="E7" s="126">
        <v>0</v>
      </c>
      <c r="F7" s="126"/>
      <c r="G7" s="126"/>
      <c r="H7" s="126"/>
      <c r="I7" s="126"/>
      <c r="J7" s="126"/>
      <c r="K7" s="126"/>
      <c r="L7" s="126"/>
      <c r="M7" s="58" t="s">
        <v>59</v>
      </c>
      <c r="N7" s="126" t="s">
        <v>105</v>
      </c>
      <c r="O7" s="126"/>
      <c r="S7" s="96">
        <v>20</v>
      </c>
      <c r="T7" s="97">
        <v>15</v>
      </c>
      <c r="U7" s="97">
        <v>20</v>
      </c>
      <c r="V7" s="97">
        <v>10</v>
      </c>
      <c r="W7" s="97">
        <v>20</v>
      </c>
      <c r="X7" s="99"/>
    </row>
    <row r="8" spans="1:26" s="59" customFormat="1" ht="27" customHeight="1" x14ac:dyDescent="0.3">
      <c r="A8" s="55" t="s">
        <v>4</v>
      </c>
      <c r="B8" s="56"/>
      <c r="C8" s="56"/>
      <c r="D8" s="57" t="s">
        <v>3</v>
      </c>
      <c r="E8" s="126">
        <v>0</v>
      </c>
      <c r="F8" s="126"/>
      <c r="G8" s="126"/>
      <c r="H8" s="126"/>
      <c r="I8" s="126"/>
      <c r="J8" s="126"/>
      <c r="K8" s="126"/>
      <c r="L8" s="126"/>
      <c r="M8" s="58" t="s">
        <v>34</v>
      </c>
      <c r="N8" s="127" t="s">
        <v>106</v>
      </c>
      <c r="O8" s="127"/>
      <c r="S8" s="96">
        <v>21</v>
      </c>
      <c r="T8" s="97">
        <v>16</v>
      </c>
      <c r="U8" s="97">
        <v>21</v>
      </c>
      <c r="V8" s="97">
        <v>11</v>
      </c>
      <c r="W8" s="97">
        <v>21</v>
      </c>
      <c r="X8" s="99"/>
    </row>
    <row r="9" spans="1:26" s="59" customFormat="1" ht="15" customHeight="1" x14ac:dyDescent="0.3">
      <c r="A9" s="55" t="s">
        <v>5</v>
      </c>
      <c r="B9" s="56"/>
      <c r="C9" s="56"/>
      <c r="D9" s="57" t="s">
        <v>3</v>
      </c>
      <c r="E9" s="126" t="s">
        <v>109</v>
      </c>
      <c r="F9" s="126"/>
      <c r="G9" s="126"/>
      <c r="H9" s="126"/>
      <c r="I9" s="126"/>
      <c r="J9" s="126"/>
      <c r="K9" s="126"/>
      <c r="L9" s="126"/>
      <c r="M9" s="58" t="s">
        <v>35</v>
      </c>
      <c r="N9" s="126" t="s">
        <v>107</v>
      </c>
      <c r="O9" s="126"/>
      <c r="S9" s="96">
        <v>22</v>
      </c>
      <c r="T9" s="97">
        <v>18</v>
      </c>
      <c r="U9" s="97">
        <v>22</v>
      </c>
      <c r="V9" s="97">
        <v>12</v>
      </c>
      <c r="W9" s="97">
        <v>22</v>
      </c>
      <c r="X9" s="99"/>
    </row>
    <row r="10" spans="1:26" s="59" customFormat="1" ht="15" customHeight="1" x14ac:dyDescent="0.3">
      <c r="A10" s="55" t="s">
        <v>6</v>
      </c>
      <c r="B10" s="56"/>
      <c r="C10" s="56"/>
      <c r="D10" s="57" t="s">
        <v>3</v>
      </c>
      <c r="E10" s="126">
        <v>0</v>
      </c>
      <c r="F10" s="126"/>
      <c r="G10" s="126"/>
      <c r="H10" s="126"/>
      <c r="I10" s="126"/>
      <c r="J10" s="126"/>
      <c r="K10" s="126"/>
      <c r="L10" s="126"/>
      <c r="M10" s="58" t="s">
        <v>36</v>
      </c>
      <c r="N10" s="126" t="s">
        <v>110</v>
      </c>
      <c r="O10" s="126"/>
      <c r="S10" s="96">
        <v>23</v>
      </c>
      <c r="T10" s="97">
        <v>19</v>
      </c>
      <c r="U10" s="97">
        <v>23</v>
      </c>
      <c r="V10" s="97">
        <v>14</v>
      </c>
      <c r="W10" s="97">
        <v>23</v>
      </c>
      <c r="X10" s="99"/>
    </row>
    <row r="11" spans="1:26" s="59" customFormat="1" ht="15" customHeight="1" x14ac:dyDescent="0.3">
      <c r="A11" s="55" t="s">
        <v>7</v>
      </c>
      <c r="B11" s="56"/>
      <c r="C11" s="56"/>
      <c r="D11" s="57" t="s">
        <v>3</v>
      </c>
      <c r="E11" s="126" t="s">
        <v>76</v>
      </c>
      <c r="F11" s="126"/>
      <c r="G11" s="126"/>
      <c r="H11" s="126"/>
      <c r="I11" s="126"/>
      <c r="J11" s="126"/>
      <c r="K11" s="126"/>
      <c r="L11" s="126"/>
      <c r="M11" s="58" t="s">
        <v>58</v>
      </c>
      <c r="N11" s="126" t="s">
        <v>108</v>
      </c>
      <c r="O11" s="126"/>
      <c r="S11" s="96">
        <v>24</v>
      </c>
      <c r="T11" s="97">
        <v>20</v>
      </c>
      <c r="U11" s="97">
        <v>24</v>
      </c>
      <c r="V11" s="97">
        <v>16</v>
      </c>
      <c r="W11" s="97">
        <v>24</v>
      </c>
      <c r="X11" s="99"/>
    </row>
    <row r="12" spans="1:26" s="59" customFormat="1" ht="15" customHeight="1" x14ac:dyDescent="0.3">
      <c r="A12" s="55" t="s">
        <v>54</v>
      </c>
      <c r="B12" s="56"/>
      <c r="C12" s="56"/>
      <c r="D12" s="57" t="s">
        <v>3</v>
      </c>
      <c r="E12" s="126" t="s">
        <v>67</v>
      </c>
      <c r="F12" s="126"/>
      <c r="G12" s="126"/>
      <c r="H12" s="126"/>
      <c r="I12" s="126"/>
      <c r="J12" s="126"/>
      <c r="K12" s="126"/>
      <c r="L12" s="126"/>
      <c r="M12" s="58" t="s">
        <v>75</v>
      </c>
      <c r="N12" s="127" t="s">
        <v>106</v>
      </c>
      <c r="O12" s="127"/>
      <c r="S12" s="96">
        <v>25</v>
      </c>
      <c r="T12" s="97">
        <v>22</v>
      </c>
      <c r="U12" s="97">
        <v>25</v>
      </c>
      <c r="V12" s="97">
        <v>17</v>
      </c>
      <c r="W12" s="97">
        <v>25</v>
      </c>
      <c r="X12" s="99">
        <v>10</v>
      </c>
    </row>
    <row r="13" spans="1:26" s="59" customFormat="1" ht="15" customHeight="1" x14ac:dyDescent="0.3">
      <c r="A13" s="55" t="s">
        <v>55</v>
      </c>
      <c r="B13" s="56"/>
      <c r="C13" s="56"/>
      <c r="D13" s="57" t="s">
        <v>3</v>
      </c>
      <c r="E13" s="126" t="s">
        <v>67</v>
      </c>
      <c r="F13" s="126"/>
      <c r="G13" s="126"/>
      <c r="H13" s="126"/>
      <c r="I13" s="126"/>
      <c r="J13" s="126"/>
      <c r="K13" s="126"/>
      <c r="L13" s="126"/>
      <c r="M13" s="58" t="s">
        <v>37</v>
      </c>
      <c r="N13" s="126" t="s">
        <v>111</v>
      </c>
      <c r="O13" s="126"/>
      <c r="S13" s="96">
        <v>26</v>
      </c>
      <c r="T13" s="97">
        <v>24</v>
      </c>
      <c r="U13" s="97">
        <v>26</v>
      </c>
      <c r="V13" s="97">
        <v>18</v>
      </c>
      <c r="W13" s="97">
        <v>26</v>
      </c>
      <c r="X13" s="99">
        <v>11</v>
      </c>
    </row>
    <row r="14" spans="1:26" s="59" customFormat="1" ht="12" customHeight="1" x14ac:dyDescent="0.3">
      <c r="B14" s="56"/>
      <c r="C14" s="60"/>
      <c r="D14" s="60"/>
      <c r="E14" s="60"/>
      <c r="F14" s="60"/>
      <c r="G14" s="60"/>
      <c r="H14" s="60"/>
      <c r="I14" s="60"/>
      <c r="J14" s="60"/>
      <c r="K14" s="60"/>
      <c r="L14" s="57"/>
      <c r="M14" s="57"/>
      <c r="N14" s="61"/>
      <c r="O14" s="62"/>
      <c r="S14" s="96">
        <v>27</v>
      </c>
      <c r="T14" s="97">
        <v>28</v>
      </c>
      <c r="U14" s="97">
        <v>27</v>
      </c>
      <c r="V14" s="97">
        <v>20</v>
      </c>
      <c r="W14" s="97">
        <v>27</v>
      </c>
      <c r="X14" s="99">
        <v>13</v>
      </c>
    </row>
    <row r="15" spans="1:26" s="64" customFormat="1" ht="18" customHeight="1" x14ac:dyDescent="0.3">
      <c r="A15" s="63"/>
      <c r="S15" s="96">
        <v>28</v>
      </c>
      <c r="T15" s="97">
        <v>27</v>
      </c>
      <c r="U15" s="97">
        <v>28</v>
      </c>
      <c r="V15" s="97">
        <v>22</v>
      </c>
      <c r="W15" s="97">
        <v>28</v>
      </c>
      <c r="X15" s="99">
        <v>14</v>
      </c>
    </row>
    <row r="16" spans="1:26" s="67" customFormat="1" ht="15" customHeight="1" x14ac:dyDescent="0.3">
      <c r="A16" s="129" t="s">
        <v>8</v>
      </c>
      <c r="B16" s="123"/>
      <c r="C16" s="123"/>
      <c r="D16" s="123"/>
      <c r="E16" s="65" t="s">
        <v>3</v>
      </c>
      <c r="F16" s="123" t="s">
        <v>9</v>
      </c>
      <c r="G16" s="123"/>
      <c r="H16" s="123"/>
      <c r="I16" s="123"/>
      <c r="J16" s="123"/>
      <c r="K16" s="123"/>
      <c r="L16" s="123"/>
      <c r="M16" s="123"/>
      <c r="N16" s="123"/>
      <c r="O16" s="124"/>
      <c r="P16" s="66"/>
      <c r="Q16" s="66"/>
      <c r="R16" s="66"/>
      <c r="S16" s="96">
        <v>29</v>
      </c>
      <c r="T16" s="97">
        <v>28</v>
      </c>
      <c r="U16" s="97">
        <v>29</v>
      </c>
      <c r="V16" s="97">
        <v>23</v>
      </c>
      <c r="W16" s="97">
        <v>29</v>
      </c>
      <c r="X16" s="99">
        <v>16</v>
      </c>
      <c r="Y16" s="66"/>
      <c r="Z16" s="66"/>
    </row>
    <row r="17" spans="1:26" s="59" customFormat="1" ht="15" customHeight="1" x14ac:dyDescent="0.3">
      <c r="A17" s="129" t="s">
        <v>8</v>
      </c>
      <c r="B17" s="123"/>
      <c r="C17" s="123"/>
      <c r="D17" s="123"/>
      <c r="E17" s="68" t="s">
        <v>3</v>
      </c>
      <c r="F17" s="123" t="s">
        <v>10</v>
      </c>
      <c r="G17" s="123"/>
      <c r="H17" s="123"/>
      <c r="I17" s="123"/>
      <c r="J17" s="123"/>
      <c r="K17" s="123"/>
      <c r="L17" s="123"/>
      <c r="M17" s="123"/>
      <c r="N17" s="123"/>
      <c r="O17" s="124"/>
      <c r="P17" s="62"/>
      <c r="Q17" s="62"/>
      <c r="R17" s="62"/>
      <c r="S17" s="96">
        <v>30</v>
      </c>
      <c r="T17" s="97">
        <v>30</v>
      </c>
      <c r="U17" s="97">
        <v>30</v>
      </c>
      <c r="V17" s="97">
        <v>25</v>
      </c>
      <c r="W17" s="97">
        <v>30</v>
      </c>
      <c r="X17" s="99">
        <v>17</v>
      </c>
      <c r="Y17" s="62"/>
      <c r="Z17" s="62"/>
    </row>
    <row r="18" spans="1:26" s="59" customFormat="1" ht="15" customHeight="1" x14ac:dyDescent="0.3">
      <c r="A18" s="130" t="s">
        <v>11</v>
      </c>
      <c r="B18" s="131"/>
      <c r="C18" s="131"/>
      <c r="D18" s="131"/>
      <c r="E18" s="68" t="s">
        <v>3</v>
      </c>
      <c r="F18" s="123" t="s">
        <v>12</v>
      </c>
      <c r="G18" s="123"/>
      <c r="H18" s="123"/>
      <c r="I18" s="123"/>
      <c r="J18" s="123"/>
      <c r="K18" s="123"/>
      <c r="L18" s="123"/>
      <c r="M18" s="123"/>
      <c r="N18" s="123"/>
      <c r="O18" s="124"/>
      <c r="P18" s="62"/>
      <c r="Q18" s="62"/>
      <c r="R18" s="62"/>
      <c r="S18" s="96">
        <v>31</v>
      </c>
      <c r="T18" s="97">
        <v>32</v>
      </c>
      <c r="U18" s="97">
        <v>31</v>
      </c>
      <c r="V18" s="97">
        <v>26</v>
      </c>
      <c r="W18" s="97">
        <v>31</v>
      </c>
      <c r="X18" s="99">
        <v>18</v>
      </c>
      <c r="Y18" s="62"/>
      <c r="Z18" s="62"/>
    </row>
    <row r="19" spans="1:26" s="59" customFormat="1" ht="15" customHeight="1" x14ac:dyDescent="0.3">
      <c r="A19" s="130" t="s">
        <v>13</v>
      </c>
      <c r="B19" s="131"/>
      <c r="C19" s="131"/>
      <c r="D19" s="131"/>
      <c r="E19" s="68" t="s">
        <v>3</v>
      </c>
      <c r="F19" s="123" t="s">
        <v>68</v>
      </c>
      <c r="G19" s="123"/>
      <c r="H19" s="123"/>
      <c r="I19" s="123"/>
      <c r="J19" s="123"/>
      <c r="K19" s="123"/>
      <c r="L19" s="123"/>
      <c r="M19" s="123"/>
      <c r="N19" s="123"/>
      <c r="O19" s="124"/>
      <c r="P19" s="62"/>
      <c r="Q19" s="62"/>
      <c r="R19" s="62"/>
      <c r="S19" s="96">
        <v>32</v>
      </c>
      <c r="T19" s="97">
        <v>34</v>
      </c>
      <c r="U19" s="97">
        <v>32</v>
      </c>
      <c r="V19" s="97">
        <v>28</v>
      </c>
      <c r="W19" s="97">
        <v>32</v>
      </c>
      <c r="X19" s="99">
        <v>20</v>
      </c>
      <c r="Y19" s="62"/>
      <c r="Z19" s="62"/>
    </row>
    <row r="20" spans="1:26" s="59" customFormat="1" ht="15" customHeight="1" x14ac:dyDescent="0.3">
      <c r="A20" s="130" t="s">
        <v>14</v>
      </c>
      <c r="B20" s="131"/>
      <c r="C20" s="131"/>
      <c r="D20" s="131"/>
      <c r="E20" s="68" t="s">
        <v>3</v>
      </c>
      <c r="F20" s="123" t="s">
        <v>27</v>
      </c>
      <c r="G20" s="123"/>
      <c r="H20" s="123"/>
      <c r="I20" s="123"/>
      <c r="J20" s="123"/>
      <c r="K20" s="123"/>
      <c r="L20" s="123"/>
      <c r="M20" s="123"/>
      <c r="N20" s="123"/>
      <c r="O20" s="124"/>
      <c r="P20" s="62"/>
      <c r="Q20" s="62"/>
      <c r="R20" s="62"/>
      <c r="S20" s="96">
        <v>33</v>
      </c>
      <c r="T20" s="97">
        <v>35</v>
      </c>
      <c r="U20" s="97">
        <v>33</v>
      </c>
      <c r="V20" s="97">
        <v>30</v>
      </c>
      <c r="W20" s="97">
        <v>33</v>
      </c>
      <c r="X20" s="99">
        <v>22</v>
      </c>
      <c r="Y20" s="62"/>
      <c r="Z20" s="62"/>
    </row>
    <row r="21" spans="1:26" s="59" customFormat="1" ht="15" customHeight="1" x14ac:dyDescent="0.3">
      <c r="A21" s="130" t="s">
        <v>15</v>
      </c>
      <c r="B21" s="131"/>
      <c r="C21" s="131"/>
      <c r="D21" s="131"/>
      <c r="E21" s="68" t="s">
        <v>3</v>
      </c>
      <c r="F21" s="123" t="s">
        <v>28</v>
      </c>
      <c r="G21" s="123"/>
      <c r="H21" s="123"/>
      <c r="I21" s="123"/>
      <c r="J21" s="123"/>
      <c r="K21" s="123"/>
      <c r="L21" s="123"/>
      <c r="M21" s="123"/>
      <c r="N21" s="123"/>
      <c r="O21" s="124"/>
      <c r="S21" s="96">
        <v>34</v>
      </c>
      <c r="T21" s="97">
        <v>37</v>
      </c>
      <c r="U21" s="97">
        <v>34</v>
      </c>
      <c r="V21" s="97">
        <v>32</v>
      </c>
      <c r="W21" s="97">
        <v>34</v>
      </c>
      <c r="X21" s="99">
        <v>24</v>
      </c>
    </row>
    <row r="22" spans="1:26" s="59" customFormat="1" ht="15" customHeight="1" x14ac:dyDescent="0.3">
      <c r="A22" s="130" t="s">
        <v>16</v>
      </c>
      <c r="B22" s="131"/>
      <c r="C22" s="131"/>
      <c r="D22" s="131"/>
      <c r="E22" s="68" t="s">
        <v>3</v>
      </c>
      <c r="F22" s="123" t="s">
        <v>17</v>
      </c>
      <c r="G22" s="123"/>
      <c r="H22" s="123"/>
      <c r="I22" s="123"/>
      <c r="J22" s="123"/>
      <c r="K22" s="123"/>
      <c r="L22" s="123"/>
      <c r="M22" s="123"/>
      <c r="N22" s="123"/>
      <c r="O22" s="124"/>
      <c r="S22" s="96">
        <v>35</v>
      </c>
      <c r="T22" s="97">
        <v>39</v>
      </c>
      <c r="U22" s="97">
        <v>35</v>
      </c>
      <c r="V22" s="97">
        <v>33</v>
      </c>
      <c r="W22" s="97">
        <v>35</v>
      </c>
      <c r="X22" s="99">
        <v>25</v>
      </c>
    </row>
    <row r="23" spans="1:26" s="59" customFormat="1" ht="15" customHeight="1" x14ac:dyDescent="0.3">
      <c r="A23" s="130" t="s">
        <v>18</v>
      </c>
      <c r="B23" s="131"/>
      <c r="C23" s="131"/>
      <c r="D23" s="131"/>
      <c r="E23" s="68" t="s">
        <v>3</v>
      </c>
      <c r="F23" s="123" t="s">
        <v>77</v>
      </c>
      <c r="G23" s="123"/>
      <c r="H23" s="123"/>
      <c r="I23" s="123"/>
      <c r="J23" s="123"/>
      <c r="K23" s="123"/>
      <c r="L23" s="123"/>
      <c r="M23" s="123"/>
      <c r="N23" s="123"/>
      <c r="O23" s="124"/>
      <c r="Q23" s="69"/>
      <c r="R23" s="69"/>
      <c r="S23" s="96">
        <v>36</v>
      </c>
      <c r="T23" s="97">
        <v>40</v>
      </c>
      <c r="U23" s="97">
        <v>36</v>
      </c>
      <c r="V23" s="97">
        <v>35</v>
      </c>
      <c r="W23" s="97">
        <v>36</v>
      </c>
      <c r="X23" s="99">
        <v>27</v>
      </c>
      <c r="Y23" s="69"/>
      <c r="Z23" s="69"/>
    </row>
    <row r="24" spans="1:26" s="59" customFormat="1" ht="15" customHeight="1" x14ac:dyDescent="0.3">
      <c r="A24" s="130" t="s">
        <v>19</v>
      </c>
      <c r="B24" s="131"/>
      <c r="C24" s="131"/>
      <c r="D24" s="131"/>
      <c r="E24" s="68" t="s">
        <v>3</v>
      </c>
      <c r="F24" s="123" t="s">
        <v>69</v>
      </c>
      <c r="G24" s="123"/>
      <c r="H24" s="123"/>
      <c r="I24" s="123"/>
      <c r="J24" s="123"/>
      <c r="K24" s="123"/>
      <c r="L24" s="123"/>
      <c r="M24" s="123"/>
      <c r="N24" s="123"/>
      <c r="O24" s="124"/>
      <c r="P24" s="103"/>
      <c r="Q24" s="69"/>
      <c r="R24" s="69"/>
      <c r="S24" s="96">
        <v>37</v>
      </c>
      <c r="T24" s="97">
        <v>42</v>
      </c>
      <c r="U24" s="97">
        <v>37</v>
      </c>
      <c r="V24" s="97">
        <v>37</v>
      </c>
      <c r="W24" s="97">
        <v>37</v>
      </c>
      <c r="X24" s="99">
        <v>29</v>
      </c>
      <c r="Y24" s="69"/>
      <c r="Z24" s="69"/>
    </row>
    <row r="25" spans="1:26" s="59" customFormat="1" ht="15" customHeight="1" x14ac:dyDescent="0.3">
      <c r="A25" s="130" t="s">
        <v>20</v>
      </c>
      <c r="B25" s="131"/>
      <c r="C25" s="131"/>
      <c r="D25" s="131"/>
      <c r="E25" s="68" t="s">
        <v>3</v>
      </c>
      <c r="F25" s="123" t="s">
        <v>48</v>
      </c>
      <c r="G25" s="123"/>
      <c r="H25" s="123"/>
      <c r="I25" s="123"/>
      <c r="J25" s="123"/>
      <c r="K25" s="123"/>
      <c r="L25" s="123"/>
      <c r="M25" s="87">
        <v>3</v>
      </c>
      <c r="N25" s="85"/>
      <c r="O25" s="86"/>
      <c r="P25" s="103"/>
      <c r="Q25" s="69"/>
      <c r="R25" s="69"/>
      <c r="S25" s="96">
        <v>38</v>
      </c>
      <c r="T25" s="97">
        <v>44</v>
      </c>
      <c r="U25" s="97">
        <v>38</v>
      </c>
      <c r="V25" s="97">
        <v>39</v>
      </c>
      <c r="W25" s="97">
        <v>38</v>
      </c>
      <c r="X25" s="99">
        <v>30</v>
      </c>
      <c r="Y25" s="69"/>
      <c r="Z25" s="69"/>
    </row>
    <row r="26" spans="1:26" s="59" customFormat="1" ht="15" customHeight="1" x14ac:dyDescent="0.3">
      <c r="A26" s="129" t="s">
        <v>21</v>
      </c>
      <c r="B26" s="123"/>
      <c r="C26" s="123"/>
      <c r="D26" s="123"/>
      <c r="E26" s="68" t="s">
        <v>3</v>
      </c>
      <c r="F26" s="123" t="s">
        <v>70</v>
      </c>
      <c r="G26" s="123"/>
      <c r="H26" s="123"/>
      <c r="I26" s="123"/>
      <c r="J26" s="123"/>
      <c r="K26" s="123"/>
      <c r="L26" s="123"/>
      <c r="M26" s="123"/>
      <c r="N26" s="123"/>
      <c r="O26" s="124"/>
      <c r="Q26" s="69"/>
      <c r="R26" s="69"/>
      <c r="S26" s="96">
        <v>39</v>
      </c>
      <c r="T26" s="97">
        <v>46</v>
      </c>
      <c r="U26" s="97">
        <v>39</v>
      </c>
      <c r="V26" s="97">
        <v>40</v>
      </c>
      <c r="W26" s="97">
        <v>39</v>
      </c>
      <c r="X26" s="99">
        <v>32</v>
      </c>
      <c r="Y26" s="69"/>
      <c r="Z26" s="69"/>
    </row>
    <row r="27" spans="1:26" s="59" customFormat="1" ht="12" customHeight="1" x14ac:dyDescent="0.3">
      <c r="A27" s="70" t="s">
        <v>22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71"/>
      <c r="M27" s="71"/>
      <c r="N27" s="71"/>
      <c r="O27" s="71"/>
      <c r="Q27" s="69"/>
      <c r="R27" s="69"/>
      <c r="S27" s="96">
        <v>40</v>
      </c>
      <c r="T27" s="97">
        <v>48</v>
      </c>
      <c r="U27" s="97">
        <v>40</v>
      </c>
      <c r="V27" s="97">
        <v>42</v>
      </c>
      <c r="W27" s="97">
        <v>40</v>
      </c>
      <c r="X27" s="99">
        <v>34</v>
      </c>
      <c r="Y27" s="69"/>
      <c r="Z27" s="69"/>
    </row>
    <row r="28" spans="1:26" x14ac:dyDescent="0.3">
      <c r="A28" s="53" t="s">
        <v>23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S28" s="96">
        <v>41</v>
      </c>
      <c r="T28" s="97">
        <v>50</v>
      </c>
      <c r="U28" s="97">
        <v>41</v>
      </c>
      <c r="V28" s="97">
        <v>44</v>
      </c>
      <c r="W28" s="97">
        <v>41</v>
      </c>
      <c r="X28" s="99">
        <v>36</v>
      </c>
    </row>
    <row r="29" spans="1:26" x14ac:dyDescent="0.3">
      <c r="A29" s="53" t="s">
        <v>99</v>
      </c>
      <c r="B29" s="54"/>
      <c r="C29" s="54"/>
      <c r="D29" s="54"/>
      <c r="E29" s="54"/>
      <c r="F29" s="54">
        <v>16</v>
      </c>
      <c r="G29" s="54"/>
      <c r="H29" s="54"/>
      <c r="I29" s="54"/>
      <c r="J29" s="54"/>
      <c r="K29" s="54"/>
      <c r="L29" s="54"/>
      <c r="M29" s="54"/>
      <c r="N29" s="54"/>
      <c r="O29" s="54"/>
      <c r="S29" s="96">
        <v>42</v>
      </c>
      <c r="T29" s="97">
        <v>52</v>
      </c>
      <c r="U29" s="97">
        <v>42</v>
      </c>
      <c r="V29" s="97">
        <v>46</v>
      </c>
      <c r="W29" s="97">
        <v>42</v>
      </c>
      <c r="X29" s="99">
        <v>38</v>
      </c>
    </row>
    <row r="30" spans="1:26" s="73" customFormat="1" ht="34.200000000000003" x14ac:dyDescent="0.3">
      <c r="A30" s="72" t="s">
        <v>29</v>
      </c>
      <c r="B30" s="72" t="s">
        <v>30</v>
      </c>
      <c r="C30" s="128" t="s">
        <v>24</v>
      </c>
      <c r="D30" s="128"/>
      <c r="E30" s="128"/>
      <c r="F30" s="128"/>
      <c r="G30" s="128"/>
      <c r="H30" s="128"/>
      <c r="I30" s="128"/>
      <c r="J30" s="128"/>
      <c r="K30" s="72" t="s">
        <v>46</v>
      </c>
      <c r="L30" s="72" t="s">
        <v>25</v>
      </c>
      <c r="M30" s="72" t="s">
        <v>31</v>
      </c>
      <c r="N30" s="72" t="s">
        <v>32</v>
      </c>
      <c r="O30" s="72" t="s">
        <v>33</v>
      </c>
      <c r="P30" s="61"/>
      <c r="Q30" s="61"/>
      <c r="S30" s="96">
        <v>43</v>
      </c>
      <c r="T30" s="97">
        <v>54</v>
      </c>
      <c r="U30" s="97">
        <v>43</v>
      </c>
      <c r="V30" s="97">
        <v>48</v>
      </c>
      <c r="W30" s="97">
        <v>43</v>
      </c>
      <c r="X30" s="99">
        <v>40</v>
      </c>
    </row>
    <row r="31" spans="1:26" ht="14.1" customHeight="1" x14ac:dyDescent="0.3">
      <c r="A31" s="133">
        <v>1</v>
      </c>
      <c r="B31" s="135" t="s">
        <v>49</v>
      </c>
      <c r="C31" s="74">
        <v>31</v>
      </c>
      <c r="D31" s="74">
        <v>34</v>
      </c>
      <c r="E31" s="74">
        <v>33</v>
      </c>
      <c r="F31" s="74">
        <v>34</v>
      </c>
      <c r="G31" s="74">
        <v>32</v>
      </c>
      <c r="H31" s="74">
        <v>31</v>
      </c>
      <c r="I31" s="74">
        <v>35</v>
      </c>
      <c r="J31" s="74">
        <v>31</v>
      </c>
      <c r="K31" s="139">
        <f>ROUND(AVERAGE(C31:J32),1)</f>
        <v>32.200000000000003</v>
      </c>
      <c r="L31" s="118">
        <f>MAX(C31:J32)-MIN(C31:J32)</f>
        <v>4</v>
      </c>
      <c r="M31" s="137">
        <f>POWER(((C31-$K31)^2+(D31-$K31)^2+(E31-$K31)^2+(F31-$K31)^2+(G31-$K31)^2+(H31-$K31)^2+(I31-$K31)^2+(J31-$K31)^2+(C32-$K31)^2+(D32-$K31)^2+(E32-$K31)^2+(F32-$K31)^2+(G32-$K31)^2+(H32-$K31)^2+(I32-$K31)^2+(J32-$K31)^2)/($F$29-1),0.5)</f>
        <v>1.3276545735494107</v>
      </c>
      <c r="N31" s="132">
        <f>M31/K31*100</f>
        <v>4.1231508495323315</v>
      </c>
      <c r="O31" s="121">
        <v>28</v>
      </c>
      <c r="P31" s="75"/>
      <c r="Q31" s="121">
        <v>28</v>
      </c>
      <c r="R31" s="75"/>
      <c r="S31" s="96">
        <v>44</v>
      </c>
      <c r="T31" s="97">
        <v>56</v>
      </c>
      <c r="U31" s="97">
        <v>44</v>
      </c>
      <c r="V31" s="97">
        <v>50</v>
      </c>
      <c r="W31" s="97">
        <v>44</v>
      </c>
      <c r="X31" s="99">
        <v>42</v>
      </c>
    </row>
    <row r="32" spans="1:26" ht="14.1" customHeight="1" x14ac:dyDescent="0.3">
      <c r="A32" s="134"/>
      <c r="B32" s="136"/>
      <c r="C32" s="74">
        <v>32</v>
      </c>
      <c r="D32" s="74">
        <v>31</v>
      </c>
      <c r="E32" s="74">
        <v>31</v>
      </c>
      <c r="F32" s="74">
        <v>31</v>
      </c>
      <c r="G32" s="74">
        <v>32</v>
      </c>
      <c r="H32" s="74">
        <v>33</v>
      </c>
      <c r="I32" s="74">
        <v>33</v>
      </c>
      <c r="J32" s="74">
        <v>31</v>
      </c>
      <c r="K32" s="139"/>
      <c r="L32" s="118"/>
      <c r="M32" s="138"/>
      <c r="N32" s="132"/>
      <c r="O32" s="121"/>
      <c r="P32" s="75">
        <f>IF(M25=1,VLOOKUP(K31,S6:X42,2),IF(M25=2,VLOOKUP(K31,U6:X42,2),IF(M25=3,VLOOKUP(K31,W6:X42,2))))</f>
        <v>20</v>
      </c>
      <c r="Q32" s="121"/>
      <c r="R32" s="75"/>
      <c r="S32" s="96">
        <v>45</v>
      </c>
      <c r="T32" s="97">
        <v>58</v>
      </c>
      <c r="U32" s="97">
        <v>45</v>
      </c>
      <c r="V32" s="97">
        <v>52</v>
      </c>
      <c r="W32" s="97">
        <v>45</v>
      </c>
      <c r="X32" s="99">
        <v>44</v>
      </c>
    </row>
    <row r="33" spans="1:25" ht="14.1" customHeight="1" x14ac:dyDescent="0.3">
      <c r="A33" s="133">
        <v>2</v>
      </c>
      <c r="B33" s="135" t="s">
        <v>50</v>
      </c>
      <c r="C33" s="74">
        <v>30</v>
      </c>
      <c r="D33" s="74">
        <v>32</v>
      </c>
      <c r="E33" s="74">
        <v>33</v>
      </c>
      <c r="F33" s="74">
        <v>35</v>
      </c>
      <c r="G33" s="74">
        <v>30</v>
      </c>
      <c r="H33" s="74">
        <v>34</v>
      </c>
      <c r="I33" s="74">
        <v>34</v>
      </c>
      <c r="J33" s="74">
        <v>32</v>
      </c>
      <c r="K33" s="139">
        <f t="shared" ref="K33" si="0">ROUND(AVERAGE(C33:J34),1)</f>
        <v>32.799999999999997</v>
      </c>
      <c r="L33" s="118">
        <f t="shared" ref="L33" si="1">MAX(C33:J34)-MIN(C33:J34)</f>
        <v>5</v>
      </c>
      <c r="M33" s="137">
        <f>POWER(((C33-$K33)^2+(D33-$K33)^2+(E33-$K33)^2+(F33-$K33)^2+(G33-$K33)^2+(H33-$K33)^2+(I33-$K33)^2+(J33-$K33)^2+(C34-$K33)^2+(D34-$K33)^2+(E34-$K33)^2+(F34-$K33)^2+(G34-$K33)^2+(H34-$K33)^2+(I34-$K33)^2+(J34-$K33)^2)/($F$29-1),0.5)</f>
        <v>1.4841383583300669</v>
      </c>
      <c r="N33" s="132">
        <f t="shared" ref="N33" si="2">M33/K33*100</f>
        <v>4.5248120680794726</v>
      </c>
      <c r="O33" s="118">
        <v>28</v>
      </c>
      <c r="P33" s="75"/>
      <c r="Q33" s="118">
        <v>28</v>
      </c>
      <c r="R33" s="75"/>
      <c r="S33" s="96">
        <v>46</v>
      </c>
      <c r="T33" s="97">
        <v>60</v>
      </c>
      <c r="U33" s="97">
        <v>46</v>
      </c>
      <c r="V33" s="97">
        <v>54</v>
      </c>
      <c r="W33" s="97">
        <v>46</v>
      </c>
      <c r="X33" s="99">
        <v>46</v>
      </c>
    </row>
    <row r="34" spans="1:25" ht="14.1" customHeight="1" x14ac:dyDescent="0.3">
      <c r="A34" s="134"/>
      <c r="B34" s="136"/>
      <c r="C34" s="74">
        <v>33</v>
      </c>
      <c r="D34" s="74">
        <v>32</v>
      </c>
      <c r="E34" s="74">
        <v>32</v>
      </c>
      <c r="F34" s="74">
        <v>35</v>
      </c>
      <c r="G34" s="74">
        <v>34</v>
      </c>
      <c r="H34" s="74">
        <v>32</v>
      </c>
      <c r="I34" s="74">
        <v>33</v>
      </c>
      <c r="J34" s="74">
        <v>33</v>
      </c>
      <c r="K34" s="139"/>
      <c r="L34" s="118"/>
      <c r="M34" s="138"/>
      <c r="N34" s="132"/>
      <c r="O34" s="118"/>
      <c r="P34" s="75"/>
      <c r="Q34" s="118"/>
      <c r="R34" s="75"/>
      <c r="S34" s="96">
        <v>47</v>
      </c>
      <c r="T34" s="97">
        <v>62</v>
      </c>
      <c r="U34" s="97">
        <v>47</v>
      </c>
      <c r="V34" s="97">
        <v>56</v>
      </c>
      <c r="W34" s="97">
        <v>47</v>
      </c>
      <c r="X34" s="99">
        <v>48</v>
      </c>
    </row>
    <row r="35" spans="1:25" ht="14.1" customHeight="1" x14ac:dyDescent="0.3">
      <c r="A35" s="133">
        <v>3</v>
      </c>
      <c r="B35" s="135" t="s">
        <v>60</v>
      </c>
      <c r="C35" s="74">
        <v>35</v>
      </c>
      <c r="D35" s="74">
        <v>36</v>
      </c>
      <c r="E35" s="74">
        <v>35</v>
      </c>
      <c r="F35" s="74">
        <v>37</v>
      </c>
      <c r="G35" s="74">
        <v>36</v>
      </c>
      <c r="H35" s="74">
        <v>36</v>
      </c>
      <c r="I35" s="74">
        <v>32</v>
      </c>
      <c r="J35" s="74">
        <v>35</v>
      </c>
      <c r="K35" s="139">
        <f t="shared" ref="K35" si="3">ROUND(AVERAGE(C35:J36),1)</f>
        <v>35.700000000000003</v>
      </c>
      <c r="L35" s="118">
        <f t="shared" ref="L35" si="4">MAX(C35:J36)-MIN(C35:J36)</f>
        <v>6</v>
      </c>
      <c r="M35" s="137">
        <f>POWER(((C35-$K35)^2+(D35-$K35)^2+(E35-$K35)^2+(F35-$K35)^2+(G35-$K35)^2+(H35-$K35)^2+(I35-$K35)^2+(J35-$K35)^2+(C36-$K35)^2+(D36-$K35)^2+(E36-$K35)^2+(F36-$K35)^2+(G36-$K35)^2+(H36-$K35)^2+(I36-$K35)^2+(J36-$K35)^2)/($F$29-1),0.5)</f>
        <v>1.3525284963110147</v>
      </c>
      <c r="N35" s="132">
        <f t="shared" ref="N35" si="5">M35/K35*100</f>
        <v>3.7885952277619457</v>
      </c>
      <c r="O35" s="118">
        <v>34</v>
      </c>
      <c r="P35" s="75"/>
      <c r="Q35" s="118">
        <v>34</v>
      </c>
      <c r="R35" s="75"/>
      <c r="S35" s="96">
        <v>48</v>
      </c>
      <c r="T35" s="97">
        <v>64</v>
      </c>
      <c r="U35" s="97">
        <v>48</v>
      </c>
      <c r="V35" s="97">
        <v>58</v>
      </c>
      <c r="W35" s="97">
        <v>48</v>
      </c>
      <c r="X35" s="99">
        <v>50</v>
      </c>
    </row>
    <row r="36" spans="1:25" ht="14.1" customHeight="1" x14ac:dyDescent="0.3">
      <c r="A36" s="134"/>
      <c r="B36" s="136"/>
      <c r="C36" s="74">
        <v>35</v>
      </c>
      <c r="D36" s="74">
        <v>36</v>
      </c>
      <c r="E36" s="74">
        <v>35</v>
      </c>
      <c r="F36" s="74">
        <v>37</v>
      </c>
      <c r="G36" s="74">
        <v>35</v>
      </c>
      <c r="H36" s="74">
        <v>36</v>
      </c>
      <c r="I36" s="74">
        <v>38</v>
      </c>
      <c r="J36" s="74">
        <v>37</v>
      </c>
      <c r="K36" s="139"/>
      <c r="L36" s="118"/>
      <c r="M36" s="138"/>
      <c r="N36" s="132"/>
      <c r="O36" s="118"/>
      <c r="P36" s="75"/>
      <c r="Q36" s="118"/>
      <c r="R36" s="75"/>
      <c r="S36" s="96">
        <v>49</v>
      </c>
      <c r="T36" s="97">
        <v>66</v>
      </c>
      <c r="U36" s="97">
        <v>49</v>
      </c>
      <c r="V36" s="97">
        <v>60</v>
      </c>
      <c r="W36" s="97">
        <v>49</v>
      </c>
      <c r="X36" s="99">
        <v>51</v>
      </c>
    </row>
    <row r="37" spans="1:25" ht="14.1" customHeight="1" x14ac:dyDescent="0.3">
      <c r="A37" s="133">
        <v>4</v>
      </c>
      <c r="B37" s="135" t="s">
        <v>61</v>
      </c>
      <c r="C37" s="74">
        <v>38</v>
      </c>
      <c r="D37" s="74">
        <v>36</v>
      </c>
      <c r="E37" s="74">
        <v>36</v>
      </c>
      <c r="F37" s="74">
        <v>37</v>
      </c>
      <c r="G37" s="74">
        <v>37</v>
      </c>
      <c r="H37" s="74">
        <v>39</v>
      </c>
      <c r="I37" s="74">
        <v>37</v>
      </c>
      <c r="J37" s="74">
        <v>36</v>
      </c>
      <c r="K37" s="139">
        <f t="shared" ref="K37" si="6">ROUND(AVERAGE(C37:J38),1)</f>
        <v>36.9</v>
      </c>
      <c r="L37" s="118">
        <f t="shared" ref="L37" si="7">MAX(C37:J38)-MIN(C37:J38)</f>
        <v>6</v>
      </c>
      <c r="M37" s="137">
        <f>POWER(((C37-$K37)^2+(D37-$K37)^2+(E37-$K37)^2+(F37-$K37)^2+(G37-$K37)^2+(H37-$K37)^2+(I37-$K37)^2+(J37-$K37)^2+(C38-$K37)^2+(D38-$K37)^2+(E38-$K37)^2+(F38-$K37)^2+(G38-$K37)^2+(H38-$K37)^2+(I38-$K37)^2+(J38-$K37)^2)/($F$29-1),0.5)</f>
        <v>1.4085453489327209</v>
      </c>
      <c r="N37" s="132">
        <f t="shared" ref="N37" si="8">M37/K37*100</f>
        <v>3.8171960675683492</v>
      </c>
      <c r="O37" s="118">
        <v>36</v>
      </c>
      <c r="P37" s="75"/>
      <c r="Q37" s="118">
        <v>36</v>
      </c>
      <c r="R37" s="75"/>
      <c r="S37" s="96">
        <v>50</v>
      </c>
      <c r="T37" s="97">
        <v>68</v>
      </c>
      <c r="U37" s="97">
        <v>50</v>
      </c>
      <c r="V37" s="97">
        <v>62</v>
      </c>
      <c r="W37" s="97">
        <v>50</v>
      </c>
      <c r="X37" s="99">
        <v>53</v>
      </c>
    </row>
    <row r="38" spans="1:25" ht="14.1" customHeight="1" x14ac:dyDescent="0.3">
      <c r="A38" s="134"/>
      <c r="B38" s="136"/>
      <c r="C38" s="74">
        <v>36</v>
      </c>
      <c r="D38" s="74">
        <v>37</v>
      </c>
      <c r="E38" s="74">
        <v>38</v>
      </c>
      <c r="F38" s="74">
        <v>33</v>
      </c>
      <c r="G38" s="74">
        <v>38</v>
      </c>
      <c r="H38" s="74">
        <v>38</v>
      </c>
      <c r="I38" s="74">
        <v>38</v>
      </c>
      <c r="J38" s="74">
        <v>36</v>
      </c>
      <c r="K38" s="139"/>
      <c r="L38" s="118"/>
      <c r="M38" s="138"/>
      <c r="N38" s="132"/>
      <c r="O38" s="118"/>
      <c r="P38" s="75"/>
      <c r="Q38" s="118"/>
      <c r="R38" s="75"/>
      <c r="S38" s="96">
        <v>51</v>
      </c>
      <c r="T38" s="97">
        <v>70</v>
      </c>
      <c r="U38" s="97">
        <v>51</v>
      </c>
      <c r="V38" s="97">
        <v>64</v>
      </c>
      <c r="W38" s="97">
        <v>51</v>
      </c>
      <c r="X38" s="99">
        <v>56</v>
      </c>
    </row>
    <row r="39" spans="1:25" ht="14.1" customHeight="1" x14ac:dyDescent="0.3">
      <c r="A39" s="133">
        <v>5</v>
      </c>
      <c r="B39" s="135" t="s">
        <v>62</v>
      </c>
      <c r="C39" s="74">
        <v>31</v>
      </c>
      <c r="D39" s="74">
        <v>32</v>
      </c>
      <c r="E39" s="74">
        <v>32</v>
      </c>
      <c r="F39" s="74">
        <v>34</v>
      </c>
      <c r="G39" s="74">
        <v>35</v>
      </c>
      <c r="H39" s="74">
        <v>34</v>
      </c>
      <c r="I39" s="74">
        <v>35</v>
      </c>
      <c r="J39" s="74">
        <v>34</v>
      </c>
      <c r="K39" s="139">
        <f t="shared" ref="K39" si="9">ROUND(AVERAGE(C39:J40),1)</f>
        <v>33.299999999999997</v>
      </c>
      <c r="L39" s="118">
        <f t="shared" ref="L39" si="10">MAX(C39:J40)-MIN(C39:J40)</f>
        <v>4</v>
      </c>
      <c r="M39" s="137">
        <f>POWER(((C39-$K39)^2+(D39-$K39)^2+(E39-$K39)^2+(F39-$K39)^2+(G39-$K39)^2+(H39-$K39)^2+(I39-$K39)^2+(J39-$K39)^2+(C40-$K39)^2+(D40-$K39)^2+(E40-$K39)^2+(F40-$K39)^2+(G40-$K39)^2+(H40-$K39)^2+(I40-$K39)^2+(J40-$K39)^2)/($F$29-1),0.5)</f>
        <v>1.4385177556545254</v>
      </c>
      <c r="N39" s="132">
        <f t="shared" ref="N39" si="11">M39/K39*100</f>
        <v>4.319873140103681</v>
      </c>
      <c r="O39" s="118">
        <v>30</v>
      </c>
      <c r="P39" s="75"/>
      <c r="Q39" s="118">
        <v>30</v>
      </c>
      <c r="S39" s="96">
        <v>52</v>
      </c>
      <c r="T39" s="97"/>
      <c r="U39" s="97">
        <v>52</v>
      </c>
      <c r="V39" s="97">
        <v>66</v>
      </c>
      <c r="W39" s="97">
        <v>52</v>
      </c>
      <c r="X39" s="99">
        <v>58</v>
      </c>
    </row>
    <row r="40" spans="1:25" ht="14.1" customHeight="1" x14ac:dyDescent="0.3">
      <c r="A40" s="134"/>
      <c r="B40" s="136"/>
      <c r="C40" s="74">
        <v>35</v>
      </c>
      <c r="D40" s="74">
        <v>31</v>
      </c>
      <c r="E40" s="74">
        <v>32</v>
      </c>
      <c r="F40" s="74">
        <v>33</v>
      </c>
      <c r="G40" s="74">
        <v>34</v>
      </c>
      <c r="H40" s="74">
        <v>35</v>
      </c>
      <c r="I40" s="74">
        <v>32</v>
      </c>
      <c r="J40" s="74">
        <v>33</v>
      </c>
      <c r="K40" s="139"/>
      <c r="L40" s="118"/>
      <c r="M40" s="138"/>
      <c r="N40" s="132"/>
      <c r="O40" s="118"/>
      <c r="P40" s="75"/>
      <c r="Q40" s="118"/>
      <c r="S40" s="96">
        <v>53</v>
      </c>
      <c r="T40" s="97"/>
      <c r="U40" s="97">
        <v>53</v>
      </c>
      <c r="V40" s="97">
        <v>68</v>
      </c>
      <c r="W40" s="97">
        <v>53</v>
      </c>
      <c r="X40" s="99">
        <v>60</v>
      </c>
      <c r="Y40" s="76"/>
    </row>
    <row r="41" spans="1:25" ht="14.1" customHeight="1" x14ac:dyDescent="0.3">
      <c r="A41" s="133">
        <v>6</v>
      </c>
      <c r="B41" s="135" t="s">
        <v>63</v>
      </c>
      <c r="C41" s="74">
        <v>30</v>
      </c>
      <c r="D41" s="74">
        <v>31</v>
      </c>
      <c r="E41" s="74">
        <v>32</v>
      </c>
      <c r="F41" s="74">
        <v>30</v>
      </c>
      <c r="G41" s="74">
        <v>34</v>
      </c>
      <c r="H41" s="74">
        <v>35</v>
      </c>
      <c r="I41" s="74">
        <v>32</v>
      </c>
      <c r="J41" s="74">
        <v>33</v>
      </c>
      <c r="K41" s="139">
        <f t="shared" ref="K41" si="12">ROUND(AVERAGE(C41:J42),1)</f>
        <v>32.4</v>
      </c>
      <c r="L41" s="118">
        <f t="shared" ref="L41" si="13">MAX(C41:J42)-MIN(C41:J42)</f>
        <v>5</v>
      </c>
      <c r="M41" s="137">
        <f>POWER(((C41-$K41)^2+(D41-$K41)^2+(E41-$K41)^2+(F41-$K41)^2+(G41-$K41)^2+(H41-$K41)^2+(I41-$K41)^2+(J41-$K41)^2+(C42-$K41)^2+(D42-$K41)^2+(E42-$K41)^2+(F42-$K41)^2+(G42-$K41)^2+(H42-$K41)^2+(I42-$K41)^2+(J42-$K41)^2)/($F$29-1),0.5)</f>
        <v>1.9314933773292275</v>
      </c>
      <c r="N41" s="132">
        <f t="shared" ref="N41" si="14">M41/K41*100</f>
        <v>5.9613993127445291</v>
      </c>
      <c r="O41" s="118">
        <v>28</v>
      </c>
      <c r="P41" s="75"/>
      <c r="Q41" s="118">
        <v>28</v>
      </c>
      <c r="R41" s="76"/>
      <c r="S41" s="96">
        <v>54</v>
      </c>
      <c r="T41" s="97"/>
      <c r="U41" s="97">
        <v>54</v>
      </c>
      <c r="V41" s="97">
        <v>70</v>
      </c>
      <c r="W41" s="97">
        <v>54</v>
      </c>
      <c r="X41" s="99">
        <v>62</v>
      </c>
      <c r="Y41" s="76"/>
    </row>
    <row r="42" spans="1:25" ht="14.1" customHeight="1" thickBot="1" x14ac:dyDescent="0.35">
      <c r="A42" s="134"/>
      <c r="B42" s="136"/>
      <c r="C42" s="74">
        <v>35</v>
      </c>
      <c r="D42" s="74">
        <v>35</v>
      </c>
      <c r="E42" s="74">
        <v>33</v>
      </c>
      <c r="F42" s="74">
        <v>30</v>
      </c>
      <c r="G42" s="74">
        <v>30</v>
      </c>
      <c r="H42" s="74">
        <v>31</v>
      </c>
      <c r="I42" s="74">
        <v>34</v>
      </c>
      <c r="J42" s="74">
        <v>34</v>
      </c>
      <c r="K42" s="139"/>
      <c r="L42" s="118"/>
      <c r="M42" s="138"/>
      <c r="N42" s="132"/>
      <c r="O42" s="118"/>
      <c r="P42" s="75"/>
      <c r="Q42" s="118"/>
      <c r="S42" s="100">
        <v>55</v>
      </c>
      <c r="T42" s="101"/>
      <c r="U42" s="101">
        <v>55</v>
      </c>
      <c r="V42" s="101"/>
      <c r="W42" s="101">
        <v>55</v>
      </c>
      <c r="X42" s="102">
        <v>64</v>
      </c>
    </row>
    <row r="43" spans="1:25" ht="14.1" customHeight="1" thickTop="1" x14ac:dyDescent="0.3">
      <c r="A43" s="133">
        <v>7</v>
      </c>
      <c r="B43" s="135" t="s">
        <v>64</v>
      </c>
      <c r="C43" s="74">
        <v>34</v>
      </c>
      <c r="D43" s="74">
        <v>31</v>
      </c>
      <c r="E43" s="74">
        <v>35</v>
      </c>
      <c r="F43" s="74">
        <v>33</v>
      </c>
      <c r="G43" s="74">
        <v>35</v>
      </c>
      <c r="H43" s="74">
        <v>34</v>
      </c>
      <c r="I43" s="74">
        <v>35</v>
      </c>
      <c r="J43" s="74">
        <v>34</v>
      </c>
      <c r="K43" s="139">
        <f t="shared" ref="K43" si="15">ROUND(AVERAGE(C43:J44),1)</f>
        <v>33</v>
      </c>
      <c r="L43" s="118">
        <f t="shared" ref="L43" si="16">MAX(C43:J44)-MIN(C43:J44)</f>
        <v>5</v>
      </c>
      <c r="M43" s="137">
        <f>POWER(((C43-$K43)^2+(D43-$K43)^2+(E43-$K43)^2+(F43-$K43)^2+(G43-$K43)^2+(H43-$K43)^2+(I43-$K43)^2+(J43-$K43)^2+(C44-$K43)^2+(D44-$K43)^2+(E44-$K43)^2+(F44-$K43)^2+(G44-$K43)^2+(H44-$K43)^2+(I44-$K43)^2+(J44-$K43)^2)/($F$29-1),0.5)</f>
        <v>1.6733200530681511</v>
      </c>
      <c r="N43" s="132">
        <f t="shared" ref="N43" si="17">M43/K43*100</f>
        <v>5.0706668274792452</v>
      </c>
      <c r="O43" s="118">
        <v>30</v>
      </c>
      <c r="P43" s="75"/>
      <c r="Q43" s="118">
        <v>30</v>
      </c>
    </row>
    <row r="44" spans="1:25" ht="14.1" customHeight="1" x14ac:dyDescent="0.3">
      <c r="A44" s="134"/>
      <c r="B44" s="136"/>
      <c r="C44" s="74">
        <v>31</v>
      </c>
      <c r="D44" s="74">
        <v>32</v>
      </c>
      <c r="E44" s="74">
        <v>30</v>
      </c>
      <c r="F44" s="74">
        <v>31</v>
      </c>
      <c r="G44" s="74">
        <v>33</v>
      </c>
      <c r="H44" s="74">
        <v>32</v>
      </c>
      <c r="I44" s="74">
        <v>33</v>
      </c>
      <c r="J44" s="74">
        <v>35</v>
      </c>
      <c r="K44" s="139"/>
      <c r="L44" s="118"/>
      <c r="M44" s="138"/>
      <c r="N44" s="132"/>
      <c r="O44" s="118"/>
      <c r="P44" s="75"/>
      <c r="Q44" s="118"/>
    </row>
    <row r="45" spans="1:25" ht="14.1" customHeight="1" x14ac:dyDescent="0.3">
      <c r="A45" s="133">
        <v>8</v>
      </c>
      <c r="B45" s="135" t="s">
        <v>65</v>
      </c>
      <c r="C45" s="74">
        <v>34</v>
      </c>
      <c r="D45" s="74">
        <v>36</v>
      </c>
      <c r="E45" s="74">
        <v>35</v>
      </c>
      <c r="F45" s="74">
        <v>33</v>
      </c>
      <c r="G45" s="74">
        <v>36</v>
      </c>
      <c r="H45" s="74">
        <v>34</v>
      </c>
      <c r="I45" s="74">
        <v>37</v>
      </c>
      <c r="J45" s="74">
        <v>35</v>
      </c>
      <c r="K45" s="139">
        <f t="shared" ref="K45" si="18">ROUND(AVERAGE(C45:J46),1)</f>
        <v>34.9</v>
      </c>
      <c r="L45" s="118">
        <f t="shared" ref="L45" si="19">MAX(C45:J46)-MIN(C45:J46)</f>
        <v>4</v>
      </c>
      <c r="M45" s="137">
        <f>POWER(((C45-$K45)^2+(D45-$K45)^2+(E45-$K45)^2+(F45-$K45)^2+(G45-$K45)^2+(H45-$K45)^2+(I45-$K45)^2+(J45-$K45)^2+(C46-$K45)^2+(D46-$K45)^2+(E46-$K45)^2+(F46-$K45)^2+(G46-$K45)^2+(H46-$K45)^2+(I46-$K45)^2+(J46-$K45)^2)/($F$29-1),0.5)</f>
        <v>1.1820885471627469</v>
      </c>
      <c r="N45" s="132">
        <f t="shared" ref="N45" si="20">M45/K45*100</f>
        <v>3.3870732010393896</v>
      </c>
      <c r="O45" s="118">
        <v>34</v>
      </c>
      <c r="P45" s="75"/>
      <c r="Q45" s="118">
        <v>34</v>
      </c>
    </row>
    <row r="46" spans="1:25" ht="14.1" customHeight="1" x14ac:dyDescent="0.3">
      <c r="A46" s="134"/>
      <c r="B46" s="136"/>
      <c r="C46" s="74">
        <v>34</v>
      </c>
      <c r="D46" s="74">
        <v>35</v>
      </c>
      <c r="E46" s="74">
        <v>35</v>
      </c>
      <c r="F46" s="74">
        <v>37</v>
      </c>
      <c r="G46" s="74">
        <v>35</v>
      </c>
      <c r="H46" s="74">
        <v>35</v>
      </c>
      <c r="I46" s="74">
        <v>35</v>
      </c>
      <c r="J46" s="74">
        <v>33</v>
      </c>
      <c r="K46" s="139"/>
      <c r="L46" s="118"/>
      <c r="M46" s="138"/>
      <c r="N46" s="132"/>
      <c r="O46" s="118"/>
      <c r="P46" s="75"/>
      <c r="Q46" s="118"/>
    </row>
    <row r="47" spans="1:25" ht="12" customHeight="1" x14ac:dyDescent="0.3">
      <c r="A47" s="70" t="s">
        <v>78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</row>
    <row r="48" spans="1:25" ht="12" customHeight="1" x14ac:dyDescent="0.3">
      <c r="A48" s="77" t="s">
        <v>38</v>
      </c>
      <c r="B48" s="78"/>
      <c r="C48" s="79" t="s">
        <v>3</v>
      </c>
      <c r="D48" s="55" t="s">
        <v>104</v>
      </c>
      <c r="E48" s="78"/>
      <c r="F48" s="78"/>
      <c r="G48" s="78"/>
      <c r="H48" s="78"/>
      <c r="I48" s="78"/>
      <c r="J48" s="75"/>
      <c r="K48" s="75"/>
      <c r="L48" s="75"/>
      <c r="M48" s="75"/>
      <c r="N48" s="75"/>
      <c r="O48" s="75"/>
      <c r="P48" s="75"/>
    </row>
    <row r="49" spans="1:14" ht="12" customHeight="1" x14ac:dyDescent="0.3">
      <c r="A49" s="77" t="s">
        <v>66</v>
      </c>
      <c r="B49" s="54"/>
      <c r="C49" s="79" t="s">
        <v>3</v>
      </c>
      <c r="D49" s="55" t="s">
        <v>47</v>
      </c>
      <c r="E49" s="54"/>
      <c r="F49" s="54"/>
      <c r="G49" s="54"/>
      <c r="H49" s="54"/>
      <c r="I49" s="54"/>
    </row>
    <row r="50" spans="1:14" s="77" customFormat="1" ht="10.199999999999999" x14ac:dyDescent="0.3">
      <c r="A50" s="77" t="s">
        <v>74</v>
      </c>
      <c r="C50" s="77" t="s">
        <v>3</v>
      </c>
    </row>
    <row r="51" spans="1:14" x14ac:dyDescent="0.3">
      <c r="B51" s="80"/>
      <c r="C51" s="80"/>
      <c r="D51" s="80"/>
      <c r="E51" s="80"/>
      <c r="F51" s="80"/>
      <c r="G51" s="80"/>
      <c r="H51" s="80"/>
      <c r="I51" s="80"/>
      <c r="J51" s="80"/>
      <c r="K51" s="80"/>
      <c r="N51" s="81"/>
    </row>
    <row r="52" spans="1:14" ht="9.9" customHeight="1" x14ac:dyDescent="0.3"/>
    <row r="53" spans="1:14" ht="11.1" customHeight="1" x14ac:dyDescent="0.3">
      <c r="A53" s="82" t="s">
        <v>71</v>
      </c>
    </row>
    <row r="54" spans="1:14" ht="11.1" customHeight="1" x14ac:dyDescent="0.3">
      <c r="A54" s="83" t="s">
        <v>72</v>
      </c>
    </row>
    <row r="55" spans="1:14" ht="11.1" customHeight="1" x14ac:dyDescent="0.3">
      <c r="A55" s="84" t="s">
        <v>73</v>
      </c>
    </row>
  </sheetData>
  <mergeCells count="106">
    <mergeCell ref="N39:N40"/>
    <mergeCell ref="O39:O40"/>
    <mergeCell ref="A41:A42"/>
    <mergeCell ref="B41:B42"/>
    <mergeCell ref="L41:L42"/>
    <mergeCell ref="M41:M42"/>
    <mergeCell ref="N41:N42"/>
    <mergeCell ref="O41:O42"/>
    <mergeCell ref="K39:K40"/>
    <mergeCell ref="K41:K42"/>
    <mergeCell ref="A39:A40"/>
    <mergeCell ref="B39:B40"/>
    <mergeCell ref="L39:L40"/>
    <mergeCell ref="M39:M40"/>
    <mergeCell ref="N43:N44"/>
    <mergeCell ref="O43:O44"/>
    <mergeCell ref="A45:A46"/>
    <mergeCell ref="B45:B46"/>
    <mergeCell ref="L45:L46"/>
    <mergeCell ref="M45:M46"/>
    <mergeCell ref="N45:N46"/>
    <mergeCell ref="O45:O46"/>
    <mergeCell ref="A43:A44"/>
    <mergeCell ref="B43:B44"/>
    <mergeCell ref="L43:L44"/>
    <mergeCell ref="M43:M44"/>
    <mergeCell ref="K43:K44"/>
    <mergeCell ref="K45:K46"/>
    <mergeCell ref="N35:N36"/>
    <mergeCell ref="O35:O36"/>
    <mergeCell ref="A37:A38"/>
    <mergeCell ref="B37:B38"/>
    <mergeCell ref="L37:L38"/>
    <mergeCell ref="M37:M38"/>
    <mergeCell ref="N37:N38"/>
    <mergeCell ref="O37:O38"/>
    <mergeCell ref="A35:A36"/>
    <mergeCell ref="B35:B36"/>
    <mergeCell ref="L35:L36"/>
    <mergeCell ref="M35:M36"/>
    <mergeCell ref="K35:K36"/>
    <mergeCell ref="K37:K38"/>
    <mergeCell ref="N31:N32"/>
    <mergeCell ref="O31:O32"/>
    <mergeCell ref="A33:A34"/>
    <mergeCell ref="B33:B34"/>
    <mergeCell ref="L33:L34"/>
    <mergeCell ref="M33:M34"/>
    <mergeCell ref="N33:N34"/>
    <mergeCell ref="O33:O34"/>
    <mergeCell ref="A31:A32"/>
    <mergeCell ref="B31:B32"/>
    <mergeCell ref="L31:L32"/>
    <mergeCell ref="M31:M32"/>
    <mergeCell ref="K31:K32"/>
    <mergeCell ref="K33:K34"/>
    <mergeCell ref="C30:J30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F23:O23"/>
    <mergeCell ref="F24:O24"/>
    <mergeCell ref="F26:O26"/>
    <mergeCell ref="F16:O16"/>
    <mergeCell ref="F25:L25"/>
    <mergeCell ref="A4:O4"/>
    <mergeCell ref="F20:O20"/>
    <mergeCell ref="F21:O21"/>
    <mergeCell ref="F22:O22"/>
    <mergeCell ref="A5:O5"/>
    <mergeCell ref="F17:O17"/>
    <mergeCell ref="F18:O18"/>
    <mergeCell ref="F19:O19"/>
    <mergeCell ref="E12:L12"/>
    <mergeCell ref="E13:L13"/>
    <mergeCell ref="N12:O12"/>
    <mergeCell ref="N13:O13"/>
    <mergeCell ref="E7:L7"/>
    <mergeCell ref="E8:L8"/>
    <mergeCell ref="E9:L9"/>
    <mergeCell ref="E10:L10"/>
    <mergeCell ref="E11:L11"/>
    <mergeCell ref="N7:O7"/>
    <mergeCell ref="N8:O8"/>
    <mergeCell ref="N9:O9"/>
    <mergeCell ref="N10:O10"/>
    <mergeCell ref="N11:O11"/>
    <mergeCell ref="X4:X5"/>
    <mergeCell ref="Q41:Q42"/>
    <mergeCell ref="Q43:Q44"/>
    <mergeCell ref="Q45:Q46"/>
    <mergeCell ref="T4:T5"/>
    <mergeCell ref="V4:V5"/>
    <mergeCell ref="Q31:Q32"/>
    <mergeCell ref="Q33:Q34"/>
    <mergeCell ref="Q35:Q36"/>
    <mergeCell ref="Q37:Q38"/>
    <mergeCell ref="Q39:Q40"/>
  </mergeCells>
  <pageMargins left="0.43307086614173201" right="0.118110236220472" top="0.118110236220472" bottom="0.15748031496063" header="0.31496062992126" footer="0.15748031496063"/>
  <pageSetup orientation="portrait" r:id="rId1"/>
  <headerFooter>
    <oddFooter>&amp;L&amp;8Form No. GR-56&amp;C&amp;8Issue No.00
Issue Date:01-01-2010&amp;R&amp;8Rev. No. 01
Rev.date:05-08-2015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selection activeCell="T11" sqref="T11"/>
    </sheetView>
  </sheetViews>
  <sheetFormatPr defaultRowHeight="14.4" x14ac:dyDescent="0.3"/>
  <cols>
    <col min="1" max="1" width="4.44140625" customWidth="1"/>
    <col min="2" max="2" width="9.6640625" customWidth="1"/>
    <col min="3" max="3" width="4.5546875" customWidth="1"/>
    <col min="4" max="4" width="4.33203125" customWidth="1"/>
    <col min="5" max="5" width="9.109375" customWidth="1"/>
    <col min="6" max="10" width="4.6640625" customWidth="1"/>
    <col min="11" max="11" width="6.88671875" customWidth="1"/>
    <col min="12" max="12" width="7" customWidth="1"/>
    <col min="13" max="13" width="9.88671875" customWidth="1"/>
    <col min="14" max="14" width="9.44140625" customWidth="1"/>
    <col min="15" max="15" width="12.6640625" customWidth="1"/>
  </cols>
  <sheetData>
    <row r="1" spans="1:19" ht="12" customHeight="1" x14ac:dyDescent="0.3"/>
    <row r="2" spans="1:19" ht="12" customHeight="1" x14ac:dyDescent="0.3"/>
    <row r="3" spans="1:19" ht="12" customHeight="1" x14ac:dyDescent="0.3"/>
    <row r="4" spans="1:19" ht="12" customHeight="1" x14ac:dyDescent="0.3"/>
    <row r="5" spans="1:19" x14ac:dyDescent="0.3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 t="s">
        <v>103</v>
      </c>
      <c r="O5" s="104"/>
    </row>
    <row r="6" spans="1:19" ht="24.9" customHeight="1" x14ac:dyDescent="0.3">
      <c r="A6" s="113"/>
      <c r="B6" s="113"/>
      <c r="C6" s="113"/>
      <c r="D6" s="113"/>
      <c r="E6" s="113"/>
      <c r="F6" s="113"/>
      <c r="G6" s="113"/>
      <c r="H6" s="113"/>
      <c r="I6" s="113"/>
      <c r="J6" s="113" t="s">
        <v>53</v>
      </c>
      <c r="K6" s="113"/>
      <c r="L6" s="113"/>
      <c r="M6" s="113"/>
      <c r="N6" s="113"/>
      <c r="O6" s="113"/>
    </row>
    <row r="7" spans="1:19" s="8" customFormat="1" ht="15.9" customHeight="1" x14ac:dyDescent="0.25">
      <c r="A7" s="115" t="s">
        <v>2</v>
      </c>
      <c r="B7" s="14"/>
      <c r="D7" s="48" t="s">
        <v>3</v>
      </c>
      <c r="E7" s="110">
        <f>'Data input'!E7:L7</f>
        <v>0</v>
      </c>
      <c r="F7" s="110"/>
      <c r="G7" s="110"/>
      <c r="H7" s="110"/>
      <c r="I7" s="110"/>
      <c r="J7" s="110"/>
      <c r="K7" s="110"/>
      <c r="L7" s="14"/>
      <c r="M7" s="16" t="s">
        <v>85</v>
      </c>
      <c r="N7" s="110"/>
      <c r="O7" s="110"/>
    </row>
    <row r="8" spans="1:19" s="8" customFormat="1" ht="15.9" customHeight="1" x14ac:dyDescent="0.25">
      <c r="A8" s="115" t="s">
        <v>4</v>
      </c>
      <c r="B8" s="14"/>
      <c r="D8" s="48" t="s">
        <v>3</v>
      </c>
      <c r="E8" s="115">
        <f>'Data input'!E8:L8</f>
        <v>0</v>
      </c>
      <c r="F8" s="115"/>
      <c r="G8" s="115"/>
      <c r="H8" s="115"/>
      <c r="I8" s="115"/>
      <c r="J8" s="115"/>
      <c r="K8" s="115"/>
      <c r="L8" s="14"/>
      <c r="M8" s="16" t="s">
        <v>86</v>
      </c>
      <c r="N8" s="111"/>
      <c r="O8" s="111"/>
    </row>
    <row r="9" spans="1:19" s="8" customFormat="1" ht="15.9" customHeight="1" x14ac:dyDescent="0.25">
      <c r="A9" s="115" t="s">
        <v>5</v>
      </c>
      <c r="B9" s="14"/>
      <c r="D9" s="48" t="s">
        <v>3</v>
      </c>
      <c r="E9" s="110"/>
      <c r="F9" s="110"/>
      <c r="G9" s="110"/>
      <c r="H9" s="110"/>
      <c r="I9" s="110"/>
      <c r="J9" s="110"/>
      <c r="K9" s="110"/>
      <c r="L9" s="14"/>
      <c r="M9" s="16" t="s">
        <v>87</v>
      </c>
      <c r="N9" s="110"/>
      <c r="O9" s="110"/>
    </row>
    <row r="10" spans="1:19" s="8" customFormat="1" ht="15.9" customHeight="1" x14ac:dyDescent="0.25">
      <c r="A10" s="115" t="s">
        <v>6</v>
      </c>
      <c r="B10" s="14"/>
      <c r="D10" s="48" t="s">
        <v>3</v>
      </c>
      <c r="E10" s="110">
        <f>'Data input'!E10:L10</f>
        <v>0</v>
      </c>
      <c r="F10" s="110"/>
      <c r="G10" s="110"/>
      <c r="H10" s="110"/>
      <c r="I10" s="110"/>
      <c r="J10" s="110"/>
      <c r="K10" s="110"/>
      <c r="L10" s="14"/>
      <c r="M10" s="16" t="s">
        <v>88</v>
      </c>
      <c r="N10" s="112"/>
      <c r="O10" s="112"/>
    </row>
    <row r="11" spans="1:19" s="8" customFormat="1" ht="15.9" customHeight="1" x14ac:dyDescent="0.25">
      <c r="A11" s="115" t="s">
        <v>82</v>
      </c>
      <c r="B11" s="14"/>
      <c r="D11" s="48" t="s">
        <v>3</v>
      </c>
      <c r="E11" s="110"/>
      <c r="F11" s="110"/>
      <c r="G11" s="110"/>
      <c r="H11" s="110"/>
      <c r="I11" s="110"/>
      <c r="J11" s="110"/>
      <c r="K11" s="110"/>
      <c r="L11" s="14"/>
      <c r="M11" s="16" t="s">
        <v>89</v>
      </c>
      <c r="N11" s="110"/>
      <c r="O11" s="110"/>
    </row>
    <row r="12" spans="1:19" s="8" customFormat="1" ht="15.9" customHeight="1" x14ac:dyDescent="0.25">
      <c r="A12" s="115" t="s">
        <v>44</v>
      </c>
      <c r="B12" s="14"/>
      <c r="D12" s="48" t="s">
        <v>3</v>
      </c>
      <c r="E12" s="110"/>
      <c r="F12" s="110"/>
      <c r="G12" s="110"/>
      <c r="H12" s="110"/>
      <c r="I12" s="110"/>
      <c r="J12" s="110"/>
      <c r="K12" s="110"/>
      <c r="L12" s="14"/>
      <c r="M12" s="16" t="s">
        <v>90</v>
      </c>
      <c r="N12" s="111"/>
      <c r="O12" s="111"/>
    </row>
    <row r="13" spans="1:19" s="8" customFormat="1" ht="15.9" customHeight="1" x14ac:dyDescent="0.25">
      <c r="A13" s="115" t="s">
        <v>7</v>
      </c>
      <c r="B13" s="14"/>
      <c r="D13" s="48" t="s">
        <v>3</v>
      </c>
      <c r="E13" s="110" t="str">
        <f>'Data input'!E11:L11</f>
        <v>Column</v>
      </c>
      <c r="F13" s="110"/>
      <c r="G13" s="110"/>
      <c r="H13" s="110"/>
      <c r="I13" s="110"/>
      <c r="J13" s="110"/>
      <c r="K13" s="110"/>
      <c r="L13" s="14"/>
      <c r="M13" s="16" t="s">
        <v>91</v>
      </c>
      <c r="N13" s="112"/>
      <c r="O13" s="112"/>
      <c r="Q13" s="32"/>
    </row>
    <row r="14" spans="1:19" s="8" customFormat="1" ht="8.1" customHeight="1" x14ac:dyDescent="0.25">
      <c r="B14" s="14"/>
      <c r="D14" s="28"/>
      <c r="E14" s="110"/>
      <c r="F14" s="110"/>
      <c r="G14" s="110"/>
      <c r="H14" s="110"/>
      <c r="I14" s="110"/>
      <c r="J14" s="110"/>
      <c r="K14" s="110"/>
      <c r="L14" s="14"/>
      <c r="N14" s="110"/>
      <c r="O14" s="110"/>
    </row>
    <row r="15" spans="1:19" ht="17.399999999999999" x14ac:dyDescent="0.3">
      <c r="A15" s="31" t="s">
        <v>42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30"/>
      <c r="M15" s="30"/>
      <c r="N15" s="30"/>
      <c r="O15" s="30"/>
    </row>
    <row r="16" spans="1:19" ht="15.9" customHeight="1" x14ac:dyDescent="0.3">
      <c r="A16" s="115" t="s">
        <v>14</v>
      </c>
      <c r="B16" s="17"/>
      <c r="C16" s="7"/>
      <c r="D16" s="40" t="s">
        <v>3</v>
      </c>
      <c r="E16" s="115" t="str">
        <f>'Data input'!F20</f>
        <v>ELE Normal type, range 10 to 70 N/mm2</v>
      </c>
      <c r="F16" s="115"/>
      <c r="G16" s="115"/>
      <c r="H16" s="115"/>
      <c r="I16" s="115"/>
      <c r="J16" s="115"/>
      <c r="K16" s="115"/>
      <c r="L16" s="41"/>
      <c r="M16" s="16" t="s">
        <v>92</v>
      </c>
      <c r="N16" s="115" t="s">
        <v>5</v>
      </c>
      <c r="O16" s="115"/>
      <c r="P16" s="40"/>
      <c r="Q16" s="37"/>
      <c r="R16" s="37"/>
      <c r="S16" s="37"/>
    </row>
    <row r="17" spans="1:16" ht="15.9" customHeight="1" x14ac:dyDescent="0.3">
      <c r="A17" s="115" t="s">
        <v>83</v>
      </c>
      <c r="B17" s="17"/>
      <c r="C17" s="7"/>
      <c r="D17" s="40" t="s">
        <v>3</v>
      </c>
      <c r="E17" s="115" t="str">
        <f>'Data input'!F18</f>
        <v>Compression Machine Platen for DTM-</v>
      </c>
      <c r="F17" s="115"/>
      <c r="G17" s="115"/>
      <c r="H17" s="115"/>
      <c r="I17" s="115"/>
      <c r="J17" s="115"/>
      <c r="K17" s="115"/>
      <c r="L17" s="41"/>
      <c r="M17" s="16" t="s">
        <v>93</v>
      </c>
      <c r="N17" s="115" t="str">
        <f>'Data input'!E12</f>
        <v>NG</v>
      </c>
      <c r="O17" s="41"/>
      <c r="P17" s="41"/>
    </row>
    <row r="18" spans="1:16" ht="15.9" customHeight="1" x14ac:dyDescent="0.3">
      <c r="A18" s="115" t="s">
        <v>13</v>
      </c>
      <c r="B18" s="37"/>
      <c r="C18" s="37"/>
      <c r="D18" s="40" t="s">
        <v>3</v>
      </c>
      <c r="E18" s="115" t="str">
        <f>'Data input'!F19</f>
        <v>SRH-1</v>
      </c>
      <c r="F18" s="115"/>
      <c r="G18" s="115"/>
      <c r="H18" s="115"/>
      <c r="I18" s="115"/>
      <c r="J18" s="115"/>
      <c r="K18" s="115"/>
      <c r="L18" s="41"/>
      <c r="M18" s="16" t="s">
        <v>94</v>
      </c>
      <c r="N18" s="115" t="str">
        <f>'Data input'!E13</f>
        <v>NG</v>
      </c>
      <c r="O18" s="41"/>
      <c r="P18" s="41"/>
    </row>
    <row r="19" spans="1:16" ht="15.9" customHeight="1" x14ac:dyDescent="0.3">
      <c r="A19" s="115" t="s">
        <v>15</v>
      </c>
      <c r="B19" s="37"/>
      <c r="C19" s="37"/>
      <c r="D19" s="40" t="s">
        <v>3</v>
      </c>
      <c r="E19" s="115" t="str">
        <f>'Data input'!F21</f>
        <v>Compressive strength in N/mm2</v>
      </c>
      <c r="F19" s="115"/>
      <c r="G19" s="115"/>
      <c r="H19" s="115"/>
      <c r="I19" s="115"/>
      <c r="J19" s="115"/>
      <c r="K19" s="115"/>
      <c r="L19" s="41"/>
      <c r="M19" s="16" t="s">
        <v>95</v>
      </c>
      <c r="N19" s="115" t="str">
        <f>'Data input'!F23</f>
        <v>Rough(Dry)</v>
      </c>
      <c r="O19" s="41"/>
      <c r="P19" s="41"/>
    </row>
    <row r="20" spans="1:16" ht="15.9" customHeight="1" x14ac:dyDescent="0.3">
      <c r="A20" s="115" t="s">
        <v>84</v>
      </c>
      <c r="B20" s="115"/>
      <c r="C20" s="115"/>
      <c r="D20" s="40"/>
      <c r="E20" s="115" t="str">
        <f>'Data input'!F24</f>
        <v>Normal</v>
      </c>
      <c r="F20" s="115"/>
      <c r="G20" s="115"/>
      <c r="H20" s="115"/>
      <c r="I20" s="115"/>
      <c r="J20" s="115"/>
      <c r="K20" s="115"/>
      <c r="L20" s="41"/>
      <c r="M20" s="16" t="s">
        <v>96</v>
      </c>
      <c r="N20" s="115" t="str">
        <f>'Data input'!F25</f>
        <v>Horizontal</v>
      </c>
      <c r="O20" s="41"/>
      <c r="P20" s="41"/>
    </row>
    <row r="21" spans="1:16" ht="15.9" customHeight="1" x14ac:dyDescent="0.3">
      <c r="A21" s="38" t="s">
        <v>40</v>
      </c>
      <c r="B21" s="115"/>
      <c r="C21" s="115"/>
      <c r="D21" s="40" t="s">
        <v>3</v>
      </c>
      <c r="E21" s="39" t="s">
        <v>41</v>
      </c>
      <c r="F21" s="41"/>
      <c r="G21" s="42"/>
      <c r="H21" s="115"/>
      <c r="I21" s="115"/>
      <c r="J21" s="115"/>
      <c r="K21" s="115"/>
      <c r="L21" s="41"/>
      <c r="M21" s="16"/>
      <c r="N21" s="115"/>
      <c r="O21" s="41"/>
      <c r="P21" s="41"/>
    </row>
    <row r="22" spans="1:16" ht="15.9" customHeight="1" x14ac:dyDescent="0.3">
      <c r="A22" s="115" t="s">
        <v>16</v>
      </c>
      <c r="B22" s="115"/>
      <c r="C22" s="115"/>
      <c r="D22" s="43" t="s">
        <v>3</v>
      </c>
      <c r="E22" s="37" t="str">
        <f>'Data input'!F22</f>
        <v>Correlation curves of resistance to compression, provided by manufacturer</v>
      </c>
      <c r="F22" s="15"/>
      <c r="G22" s="15"/>
      <c r="H22" s="15"/>
      <c r="I22" s="15"/>
      <c r="J22" s="15"/>
      <c r="K22" s="15"/>
      <c r="L22" s="41"/>
      <c r="M22" s="16"/>
      <c r="N22" s="39"/>
      <c r="O22" s="16"/>
      <c r="P22" s="16"/>
    </row>
    <row r="23" spans="1:16" ht="15.9" customHeight="1" x14ac:dyDescent="0.3">
      <c r="A23" s="37" t="s">
        <v>21</v>
      </c>
      <c r="B23" s="37"/>
      <c r="C23" s="37"/>
      <c r="D23" s="43" t="s">
        <v>3</v>
      </c>
      <c r="E23" s="37" t="str">
        <f>'Data input'!F26</f>
        <v>Evenly spaced along length of column each 16 no. readings on approx.3cm grid.</v>
      </c>
      <c r="F23" s="15"/>
      <c r="G23" s="15"/>
      <c r="H23" s="15"/>
      <c r="I23" s="15"/>
      <c r="J23" s="15"/>
      <c r="K23" s="15"/>
      <c r="L23" s="41"/>
      <c r="M23" s="41"/>
      <c r="N23" s="41"/>
      <c r="O23" s="41"/>
      <c r="P23" s="41"/>
    </row>
    <row r="24" spans="1:16" ht="15.9" customHeight="1" x14ac:dyDescent="0.3">
      <c r="H24" s="42"/>
      <c r="I24" s="42"/>
      <c r="J24" s="42"/>
      <c r="K24" s="42"/>
      <c r="L24" s="41"/>
      <c r="M24" s="41"/>
      <c r="N24" s="41"/>
      <c r="O24" s="41"/>
      <c r="P24" s="41"/>
    </row>
    <row r="25" spans="1:16" s="26" customFormat="1" ht="43.2" customHeight="1" x14ac:dyDescent="0.3">
      <c r="A25" s="114" t="s">
        <v>43</v>
      </c>
      <c r="B25" s="114" t="s">
        <v>44</v>
      </c>
      <c r="C25" s="114" t="s">
        <v>45</v>
      </c>
      <c r="D25" s="114"/>
      <c r="E25" s="114"/>
      <c r="F25" s="114"/>
      <c r="G25" s="114"/>
      <c r="H25" s="114"/>
      <c r="I25" s="114"/>
      <c r="J25" s="114"/>
      <c r="K25" s="114" t="s">
        <v>25</v>
      </c>
      <c r="L25" s="114" t="s">
        <v>52</v>
      </c>
      <c r="M25" s="114" t="s">
        <v>56</v>
      </c>
      <c r="N25" s="114" t="s">
        <v>46</v>
      </c>
      <c r="O25" s="114" t="s">
        <v>57</v>
      </c>
    </row>
    <row r="26" spans="1:16" x14ac:dyDescent="0.3">
      <c r="A26" s="107">
        <f>'Data input'!A31</f>
        <v>1</v>
      </c>
      <c r="B26" s="107" t="str">
        <f>'Data input'!B31</f>
        <v>Column-1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9"/>
      <c r="M26" s="109"/>
      <c r="N26" s="105"/>
      <c r="O26" s="106"/>
    </row>
    <row r="27" spans="1:16" x14ac:dyDescent="0.3">
      <c r="A27" s="108"/>
      <c r="B27" s="108"/>
      <c r="C27" s="106"/>
      <c r="D27" s="106"/>
      <c r="E27" s="106"/>
      <c r="F27" s="106"/>
      <c r="G27" s="106"/>
      <c r="H27" s="106"/>
      <c r="I27" s="106"/>
      <c r="J27" s="106"/>
      <c r="K27" s="106"/>
      <c r="L27" s="109"/>
      <c r="M27" s="109"/>
      <c r="N27" s="105"/>
      <c r="O27" s="106"/>
    </row>
    <row r="28" spans="1:16" x14ac:dyDescent="0.3">
      <c r="A28" s="107">
        <f>'Data input'!A33</f>
        <v>2</v>
      </c>
      <c r="B28" s="107" t="str">
        <f>'Data input'!B33</f>
        <v>Column-2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9"/>
      <c r="M28" s="109"/>
      <c r="N28" s="105"/>
      <c r="O28" s="106"/>
    </row>
    <row r="29" spans="1:16" x14ac:dyDescent="0.3">
      <c r="A29" s="108"/>
      <c r="B29" s="108"/>
      <c r="C29" s="106"/>
      <c r="D29" s="106"/>
      <c r="E29" s="106"/>
      <c r="F29" s="106"/>
      <c r="G29" s="106"/>
      <c r="H29" s="106"/>
      <c r="I29" s="106"/>
      <c r="J29" s="106"/>
      <c r="K29" s="106"/>
      <c r="L29" s="109"/>
      <c r="M29" s="109"/>
      <c r="N29" s="105"/>
      <c r="O29" s="106"/>
    </row>
    <row r="30" spans="1:16" x14ac:dyDescent="0.3">
      <c r="A30" s="107">
        <f>'Data input'!A35</f>
        <v>3</v>
      </c>
      <c r="B30" s="107" t="str">
        <f>'Data input'!B35</f>
        <v>Column-3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9"/>
      <c r="M30" s="109"/>
      <c r="N30" s="105"/>
      <c r="O30" s="106"/>
    </row>
    <row r="31" spans="1:16" x14ac:dyDescent="0.3">
      <c r="A31" s="108"/>
      <c r="B31" s="108"/>
      <c r="C31" s="106"/>
      <c r="D31" s="106"/>
      <c r="E31" s="106"/>
      <c r="F31" s="106"/>
      <c r="G31" s="106"/>
      <c r="H31" s="106"/>
      <c r="I31" s="106"/>
      <c r="J31" s="106"/>
      <c r="K31" s="106"/>
      <c r="L31" s="109"/>
      <c r="M31" s="109"/>
      <c r="N31" s="105"/>
      <c r="O31" s="106"/>
    </row>
    <row r="32" spans="1:16" x14ac:dyDescent="0.3">
      <c r="A32" s="107">
        <f>'Data input'!A37</f>
        <v>4</v>
      </c>
      <c r="B32" s="107" t="str">
        <f>'Data input'!B37</f>
        <v>Column-4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9"/>
      <c r="M32" s="109"/>
      <c r="N32" s="105"/>
      <c r="O32" s="106"/>
    </row>
    <row r="33" spans="1:15" x14ac:dyDescent="0.3">
      <c r="A33" s="108"/>
      <c r="B33" s="108"/>
      <c r="C33" s="106"/>
      <c r="D33" s="106"/>
      <c r="E33" s="106"/>
      <c r="F33" s="106"/>
      <c r="G33" s="106"/>
      <c r="H33" s="106"/>
      <c r="I33" s="106"/>
      <c r="J33" s="106"/>
      <c r="K33" s="106"/>
      <c r="L33" s="109"/>
      <c r="M33" s="109"/>
      <c r="N33" s="105"/>
      <c r="O33" s="106"/>
    </row>
    <row r="34" spans="1:15" x14ac:dyDescent="0.3">
      <c r="A34" s="107">
        <f>'Data input'!A39</f>
        <v>5</v>
      </c>
      <c r="B34" s="107" t="str">
        <f>'Data input'!B39</f>
        <v>Column-5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9"/>
      <c r="M34" s="109"/>
      <c r="N34" s="105"/>
      <c r="O34" s="106"/>
    </row>
    <row r="35" spans="1:15" x14ac:dyDescent="0.3">
      <c r="A35" s="108"/>
      <c r="B35" s="108"/>
      <c r="C35" s="106"/>
      <c r="D35" s="106"/>
      <c r="E35" s="106"/>
      <c r="F35" s="106"/>
      <c r="G35" s="106"/>
      <c r="H35" s="106"/>
      <c r="I35" s="106"/>
      <c r="J35" s="106"/>
      <c r="K35" s="106"/>
      <c r="L35" s="109"/>
      <c r="M35" s="109"/>
      <c r="N35" s="105"/>
      <c r="O35" s="106"/>
    </row>
    <row r="36" spans="1:15" x14ac:dyDescent="0.3">
      <c r="A36" s="107">
        <f>'Data input'!A41</f>
        <v>6</v>
      </c>
      <c r="B36" s="107" t="str">
        <f>'Data input'!B41</f>
        <v>Column-6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9"/>
      <c r="M36" s="109"/>
      <c r="N36" s="105"/>
      <c r="O36" s="106"/>
    </row>
    <row r="37" spans="1:15" x14ac:dyDescent="0.3">
      <c r="A37" s="108"/>
      <c r="B37" s="108"/>
      <c r="C37" s="106"/>
      <c r="D37" s="106"/>
      <c r="E37" s="106"/>
      <c r="F37" s="106"/>
      <c r="G37" s="106"/>
      <c r="H37" s="106"/>
      <c r="I37" s="106"/>
      <c r="J37" s="106"/>
      <c r="K37" s="106"/>
      <c r="L37" s="109"/>
      <c r="M37" s="109"/>
      <c r="N37" s="105"/>
      <c r="O37" s="106"/>
    </row>
    <row r="38" spans="1:15" x14ac:dyDescent="0.3">
      <c r="A38" s="107">
        <f>'Data input'!A43</f>
        <v>7</v>
      </c>
      <c r="B38" s="107" t="str">
        <f>'Data input'!B43</f>
        <v>Column-7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9"/>
      <c r="M38" s="109"/>
      <c r="N38" s="105"/>
      <c r="O38" s="106"/>
    </row>
    <row r="39" spans="1:15" x14ac:dyDescent="0.3">
      <c r="A39" s="108"/>
      <c r="B39" s="108"/>
      <c r="C39" s="106"/>
      <c r="D39" s="106"/>
      <c r="E39" s="106"/>
      <c r="F39" s="106"/>
      <c r="G39" s="106"/>
      <c r="H39" s="106"/>
      <c r="I39" s="106"/>
      <c r="J39" s="106"/>
      <c r="K39" s="106"/>
      <c r="L39" s="109"/>
      <c r="M39" s="109"/>
      <c r="N39" s="105"/>
      <c r="O39" s="106"/>
    </row>
    <row r="40" spans="1:15" x14ac:dyDescent="0.3">
      <c r="A40" s="107">
        <f>'Data input'!A45</f>
        <v>8</v>
      </c>
      <c r="B40" s="107" t="str">
        <f>'Data input'!B45</f>
        <v>Column-8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9"/>
      <c r="M40" s="109"/>
      <c r="N40" s="105"/>
      <c r="O40" s="106"/>
    </row>
    <row r="41" spans="1:15" x14ac:dyDescent="0.3">
      <c r="A41" s="108"/>
      <c r="B41" s="108"/>
      <c r="C41" s="106"/>
      <c r="D41" s="106"/>
      <c r="E41" s="106"/>
      <c r="F41" s="106"/>
      <c r="G41" s="106"/>
      <c r="H41" s="106"/>
      <c r="I41" s="106"/>
      <c r="J41" s="106"/>
      <c r="K41" s="106"/>
      <c r="L41" s="109"/>
      <c r="M41" s="109"/>
      <c r="N41" s="105"/>
      <c r="O41" s="106"/>
    </row>
    <row r="42" spans="1:15" ht="11.1" customHeight="1" x14ac:dyDescent="0.3">
      <c r="A42" s="45" t="s">
        <v>98</v>
      </c>
    </row>
    <row r="43" spans="1:15" s="44" customFormat="1" ht="12" customHeight="1" x14ac:dyDescent="0.2">
      <c r="A43" s="21" t="s">
        <v>79</v>
      </c>
      <c r="D43" s="44" t="s">
        <v>3</v>
      </c>
      <c r="E43" s="21"/>
    </row>
    <row r="44" spans="1:15" s="44" customFormat="1" ht="12" customHeight="1" x14ac:dyDescent="0.2">
      <c r="A44" s="21" t="s">
        <v>80</v>
      </c>
      <c r="D44" s="44" t="s">
        <v>3</v>
      </c>
      <c r="E44" s="44" t="s">
        <v>81</v>
      </c>
    </row>
    <row r="45" spans="1:15" s="44" customFormat="1" ht="12" customHeight="1" x14ac:dyDescent="0.2">
      <c r="A45" s="21" t="s">
        <v>74</v>
      </c>
      <c r="D45" s="44" t="s">
        <v>3</v>
      </c>
      <c r="E45" s="44" t="s">
        <v>81</v>
      </c>
    </row>
    <row r="46" spans="1:15" ht="11.1" customHeight="1" x14ac:dyDescent="0.3">
      <c r="A46" s="46" t="s">
        <v>71</v>
      </c>
    </row>
    <row r="47" spans="1:15" ht="11.1" customHeight="1" x14ac:dyDescent="0.3">
      <c r="A47" s="46" t="s">
        <v>72</v>
      </c>
    </row>
    <row r="48" spans="1:15" ht="11.1" customHeight="1" x14ac:dyDescent="0.3">
      <c r="A48" s="47" t="s">
        <v>73</v>
      </c>
    </row>
    <row r="49" spans="8:15" x14ac:dyDescent="0.3">
      <c r="N49" s="36" t="s">
        <v>39</v>
      </c>
    </row>
    <row r="51" spans="8:15" x14ac:dyDescent="0.3">
      <c r="H51" t="s">
        <v>51</v>
      </c>
      <c r="I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</row>
  </sheetData>
  <pageMargins left="0.55433070866141698" right="0.27559055118110198" top="0.21" bottom="0.15748031496063" header="0.15748031496063" footer="0.15748031496063"/>
  <pageSetup orientation="portrait" r:id="rId1"/>
  <headerFooter>
    <oddFooter>&amp;L&amp;9Form No. : GR-56&amp;C&amp;9Issue No. 02
Issue Date : 01-01-2021&amp;R&amp;9Rev. No.:00
Rev. Date.:-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topLeftCell="A7" workbookViewId="0">
      <selection activeCell="L33" sqref="L33:L34"/>
    </sheetView>
  </sheetViews>
  <sheetFormatPr defaultColWidth="9.109375" defaultRowHeight="14.4" x14ac:dyDescent="0.3"/>
  <cols>
    <col min="1" max="1" width="5.44140625" style="2" customWidth="1"/>
    <col min="2" max="2" width="10.5546875" style="2" customWidth="1"/>
    <col min="3" max="10" width="3.6640625" style="2" customWidth="1"/>
    <col min="11" max="11" width="7.33203125" style="2" customWidth="1"/>
    <col min="12" max="12" width="6.6640625" style="2" customWidth="1"/>
    <col min="13" max="13" width="11.109375" style="2" customWidth="1"/>
    <col min="14" max="14" width="11" style="2" customWidth="1"/>
    <col min="15" max="15" width="10.5546875" style="2" customWidth="1"/>
    <col min="16" max="16384" width="9.109375" style="2"/>
  </cols>
  <sheetData>
    <row r="1" spans="1:20" s="1" customFormat="1" x14ac:dyDescent="0.3"/>
    <row r="2" spans="1:20" s="1" customFormat="1" x14ac:dyDescent="0.3"/>
    <row r="3" spans="1:20" s="1" customFormat="1" x14ac:dyDescent="0.3"/>
    <row r="4" spans="1:20" s="1" customFormat="1" ht="12" customHeight="1" x14ac:dyDescent="0.3">
      <c r="A4" s="122" t="s">
        <v>26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4"/>
      <c r="Q4" s="4"/>
      <c r="R4" s="4"/>
      <c r="S4" s="4"/>
    </row>
    <row r="5" spans="1:20" ht="20.100000000000001" customHeight="1" x14ac:dyDescent="0.3">
      <c r="A5" s="140" t="s">
        <v>0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</row>
    <row r="6" spans="1:20" x14ac:dyDescent="0.3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20" s="8" customFormat="1" ht="15" customHeight="1" x14ac:dyDescent="0.25">
      <c r="A7" s="13" t="s">
        <v>2</v>
      </c>
      <c r="B7" s="14"/>
      <c r="C7" s="14"/>
      <c r="D7" s="51" t="s">
        <v>3</v>
      </c>
      <c r="E7" s="143"/>
      <c r="F7" s="143"/>
      <c r="G7" s="143"/>
      <c r="H7" s="143"/>
      <c r="I7" s="143"/>
      <c r="J7" s="143"/>
      <c r="K7" s="143"/>
      <c r="L7" s="143"/>
      <c r="M7" s="16" t="s">
        <v>59</v>
      </c>
      <c r="N7" s="141"/>
      <c r="O7" s="141"/>
    </row>
    <row r="8" spans="1:20" s="8" customFormat="1" ht="15" customHeight="1" x14ac:dyDescent="0.25">
      <c r="A8" s="13" t="s">
        <v>4</v>
      </c>
      <c r="B8" s="14"/>
      <c r="C8" s="14"/>
      <c r="D8" s="51" t="s">
        <v>3</v>
      </c>
      <c r="E8" s="143"/>
      <c r="F8" s="143"/>
      <c r="G8" s="143"/>
      <c r="H8" s="143"/>
      <c r="I8" s="143"/>
      <c r="J8" s="143"/>
      <c r="K8" s="143"/>
      <c r="L8" s="143"/>
      <c r="M8" s="16" t="s">
        <v>34</v>
      </c>
      <c r="N8" s="142"/>
      <c r="O8" s="142"/>
    </row>
    <row r="9" spans="1:20" s="8" customFormat="1" ht="15" customHeight="1" x14ac:dyDescent="0.25">
      <c r="A9" s="13" t="s">
        <v>5</v>
      </c>
      <c r="B9" s="14"/>
      <c r="C9" s="14"/>
      <c r="D9" s="51" t="s">
        <v>3</v>
      </c>
      <c r="E9" s="143"/>
      <c r="F9" s="143"/>
      <c r="G9" s="143"/>
      <c r="H9" s="143"/>
      <c r="I9" s="143"/>
      <c r="J9" s="143"/>
      <c r="K9" s="143"/>
      <c r="L9" s="143"/>
      <c r="M9" s="16" t="s">
        <v>35</v>
      </c>
      <c r="N9" s="141"/>
      <c r="O9" s="141"/>
    </row>
    <row r="10" spans="1:20" s="8" customFormat="1" ht="15" customHeight="1" x14ac:dyDescent="0.25">
      <c r="A10" s="13" t="s">
        <v>6</v>
      </c>
      <c r="B10" s="14"/>
      <c r="C10" s="14"/>
      <c r="D10" s="51" t="s">
        <v>3</v>
      </c>
      <c r="E10" s="143"/>
      <c r="F10" s="143"/>
      <c r="G10" s="143"/>
      <c r="H10" s="143"/>
      <c r="I10" s="143"/>
      <c r="J10" s="143"/>
      <c r="K10" s="143"/>
      <c r="L10" s="143"/>
      <c r="M10" s="16" t="s">
        <v>36</v>
      </c>
      <c r="N10" s="141"/>
      <c r="O10" s="141"/>
    </row>
    <row r="11" spans="1:20" s="8" customFormat="1" ht="15" customHeight="1" x14ac:dyDescent="0.25">
      <c r="A11" s="13" t="s">
        <v>7</v>
      </c>
      <c r="B11" s="14"/>
      <c r="C11" s="14"/>
      <c r="D11" s="51" t="s">
        <v>3</v>
      </c>
      <c r="E11" s="144"/>
      <c r="F11" s="144"/>
      <c r="G11" s="144"/>
      <c r="H11" s="144"/>
      <c r="I11" s="144"/>
      <c r="J11" s="144"/>
      <c r="K11" s="144"/>
      <c r="L11" s="52"/>
      <c r="M11" s="16" t="s">
        <v>58</v>
      </c>
      <c r="N11" s="141"/>
      <c r="O11" s="141"/>
    </row>
    <row r="12" spans="1:20" s="8" customFormat="1" ht="15" customHeight="1" x14ac:dyDescent="0.25">
      <c r="A12" s="13" t="s">
        <v>54</v>
      </c>
      <c r="B12" s="14"/>
      <c r="C12" s="14"/>
      <c r="D12" s="51" t="s">
        <v>3</v>
      </c>
      <c r="E12" s="143"/>
      <c r="F12" s="143"/>
      <c r="G12" s="143"/>
      <c r="H12" s="143"/>
      <c r="I12" s="143"/>
      <c r="J12" s="143"/>
      <c r="K12" s="143"/>
      <c r="L12" s="143"/>
      <c r="M12" s="16" t="s">
        <v>75</v>
      </c>
      <c r="N12" s="142"/>
      <c r="O12" s="142"/>
    </row>
    <row r="13" spans="1:20" s="8" customFormat="1" ht="15" customHeight="1" x14ac:dyDescent="0.25">
      <c r="A13" s="13" t="s">
        <v>55</v>
      </c>
      <c r="B13" s="14"/>
      <c r="C13" s="14"/>
      <c r="D13" s="51" t="s">
        <v>3</v>
      </c>
      <c r="E13" s="143"/>
      <c r="F13" s="143"/>
      <c r="G13" s="143"/>
      <c r="H13" s="143"/>
      <c r="I13" s="143"/>
      <c r="J13" s="143"/>
      <c r="K13" s="143"/>
      <c r="L13" s="143"/>
      <c r="M13" s="16" t="s">
        <v>37</v>
      </c>
      <c r="N13" s="141"/>
      <c r="O13" s="141"/>
    </row>
    <row r="14" spans="1:20" s="25" customFormat="1" ht="12" customHeight="1" x14ac:dyDescent="0.3">
      <c r="A14" s="27"/>
    </row>
    <row r="15" spans="1:20" s="24" customFormat="1" ht="15" customHeight="1" x14ac:dyDescent="0.25">
      <c r="A15" s="147" t="s">
        <v>8</v>
      </c>
      <c r="B15" s="148"/>
      <c r="C15" s="148"/>
      <c r="D15" s="148"/>
      <c r="E15" s="22" t="s">
        <v>3</v>
      </c>
      <c r="F15" s="148" t="s">
        <v>9</v>
      </c>
      <c r="G15" s="148"/>
      <c r="H15" s="148"/>
      <c r="I15" s="148"/>
      <c r="J15" s="148"/>
      <c r="K15" s="148"/>
      <c r="L15" s="148"/>
      <c r="M15" s="148"/>
      <c r="N15" s="148"/>
      <c r="O15" s="154"/>
      <c r="P15" s="23"/>
      <c r="Q15" s="23"/>
      <c r="R15" s="23"/>
      <c r="S15" s="23"/>
      <c r="T15" s="23"/>
    </row>
    <row r="16" spans="1:20" s="8" customFormat="1" ht="15" customHeight="1" x14ac:dyDescent="0.25">
      <c r="A16" s="147" t="s">
        <v>8</v>
      </c>
      <c r="B16" s="148"/>
      <c r="C16" s="148"/>
      <c r="D16" s="148"/>
      <c r="E16" s="22" t="s">
        <v>3</v>
      </c>
      <c r="F16" s="148" t="s">
        <v>10</v>
      </c>
      <c r="G16" s="148"/>
      <c r="H16" s="148"/>
      <c r="I16" s="148"/>
      <c r="J16" s="148"/>
      <c r="K16" s="148"/>
      <c r="L16" s="148"/>
      <c r="M16" s="148"/>
      <c r="N16" s="148"/>
      <c r="O16" s="154"/>
      <c r="P16" s="7"/>
      <c r="Q16" s="7"/>
      <c r="R16" s="7"/>
      <c r="S16" s="7"/>
      <c r="T16" s="7"/>
    </row>
    <row r="17" spans="1:20" s="8" customFormat="1" ht="15" customHeight="1" x14ac:dyDescent="0.25">
      <c r="A17" s="155" t="s">
        <v>11</v>
      </c>
      <c r="B17" s="156"/>
      <c r="C17" s="156"/>
      <c r="D17" s="156"/>
      <c r="E17" s="22" t="s">
        <v>3</v>
      </c>
      <c r="F17" s="148" t="s">
        <v>12</v>
      </c>
      <c r="G17" s="148"/>
      <c r="H17" s="148"/>
      <c r="I17" s="148"/>
      <c r="J17" s="148"/>
      <c r="K17" s="148"/>
      <c r="L17" s="148"/>
      <c r="M17" s="148"/>
      <c r="N17" s="148"/>
      <c r="O17" s="154"/>
      <c r="P17" s="7"/>
      <c r="Q17" s="7"/>
      <c r="R17" s="7"/>
      <c r="S17" s="7"/>
      <c r="T17" s="7"/>
    </row>
    <row r="18" spans="1:20" s="8" customFormat="1" ht="15" customHeight="1" x14ac:dyDescent="0.25">
      <c r="A18" s="155" t="s">
        <v>13</v>
      </c>
      <c r="B18" s="156"/>
      <c r="C18" s="156"/>
      <c r="D18" s="156"/>
      <c r="E18" s="22" t="s">
        <v>3</v>
      </c>
      <c r="F18" s="148" t="s">
        <v>68</v>
      </c>
      <c r="G18" s="148"/>
      <c r="H18" s="148"/>
      <c r="I18" s="148"/>
      <c r="J18" s="148"/>
      <c r="K18" s="148"/>
      <c r="L18" s="148"/>
      <c r="M18" s="148"/>
      <c r="N18" s="148"/>
      <c r="O18" s="154"/>
      <c r="P18" s="7"/>
      <c r="Q18" s="7"/>
      <c r="R18" s="7"/>
      <c r="S18" s="7"/>
      <c r="T18" s="7"/>
    </row>
    <row r="19" spans="1:20" s="8" customFormat="1" ht="15" customHeight="1" x14ac:dyDescent="0.25">
      <c r="A19" s="155" t="s">
        <v>14</v>
      </c>
      <c r="B19" s="156"/>
      <c r="C19" s="156"/>
      <c r="D19" s="156"/>
      <c r="E19" s="22" t="s">
        <v>3</v>
      </c>
      <c r="F19" s="148" t="s">
        <v>27</v>
      </c>
      <c r="G19" s="148"/>
      <c r="H19" s="148"/>
      <c r="I19" s="148"/>
      <c r="J19" s="148"/>
      <c r="K19" s="148"/>
      <c r="L19" s="148"/>
      <c r="M19" s="148"/>
      <c r="N19" s="148"/>
      <c r="O19" s="154"/>
      <c r="P19" s="7"/>
      <c r="Q19" s="7"/>
      <c r="R19" s="7"/>
      <c r="S19" s="7"/>
      <c r="T19" s="7"/>
    </row>
    <row r="20" spans="1:20" s="8" customFormat="1" ht="15" customHeight="1" x14ac:dyDescent="0.25">
      <c r="A20" s="155" t="s">
        <v>15</v>
      </c>
      <c r="B20" s="156"/>
      <c r="C20" s="156"/>
      <c r="D20" s="156"/>
      <c r="E20" s="22" t="s">
        <v>3</v>
      </c>
      <c r="F20" s="148" t="s">
        <v>28</v>
      </c>
      <c r="G20" s="148"/>
      <c r="H20" s="148"/>
      <c r="I20" s="148"/>
      <c r="J20" s="148"/>
      <c r="K20" s="148"/>
      <c r="L20" s="148"/>
      <c r="M20" s="148"/>
      <c r="N20" s="148"/>
      <c r="O20" s="154"/>
    </row>
    <row r="21" spans="1:20" s="8" customFormat="1" ht="15" customHeight="1" x14ac:dyDescent="0.25">
      <c r="A21" s="155" t="s">
        <v>16</v>
      </c>
      <c r="B21" s="156"/>
      <c r="C21" s="156"/>
      <c r="D21" s="156"/>
      <c r="E21" s="22" t="s">
        <v>3</v>
      </c>
      <c r="F21" s="148" t="s">
        <v>17</v>
      </c>
      <c r="G21" s="148"/>
      <c r="H21" s="148"/>
      <c r="I21" s="148"/>
      <c r="J21" s="148"/>
      <c r="K21" s="148"/>
      <c r="L21" s="148"/>
      <c r="M21" s="148"/>
      <c r="N21" s="148"/>
      <c r="O21" s="154"/>
    </row>
    <row r="22" spans="1:20" s="8" customFormat="1" ht="15" customHeight="1" x14ac:dyDescent="0.25">
      <c r="A22" s="155" t="s">
        <v>18</v>
      </c>
      <c r="B22" s="156"/>
      <c r="C22" s="156"/>
      <c r="D22" s="156"/>
      <c r="E22" s="22" t="s">
        <v>3</v>
      </c>
      <c r="F22" s="148" t="s">
        <v>77</v>
      </c>
      <c r="G22" s="148"/>
      <c r="H22" s="148"/>
      <c r="I22" s="148"/>
      <c r="J22" s="148"/>
      <c r="K22" s="148"/>
      <c r="L22" s="148"/>
      <c r="M22" s="148"/>
      <c r="N22" s="148"/>
      <c r="O22" s="154"/>
      <c r="Q22" s="6"/>
      <c r="R22" s="6"/>
      <c r="S22" s="6"/>
      <c r="T22" s="6"/>
    </row>
    <row r="23" spans="1:20" s="8" customFormat="1" ht="15" customHeight="1" x14ac:dyDescent="0.25">
      <c r="A23" s="155" t="s">
        <v>19</v>
      </c>
      <c r="B23" s="156"/>
      <c r="C23" s="156"/>
      <c r="D23" s="156"/>
      <c r="E23" s="22" t="s">
        <v>3</v>
      </c>
      <c r="F23" s="148" t="s">
        <v>69</v>
      </c>
      <c r="G23" s="148"/>
      <c r="H23" s="148"/>
      <c r="I23" s="148"/>
      <c r="J23" s="148"/>
      <c r="K23" s="148"/>
      <c r="L23" s="148"/>
      <c r="M23" s="148"/>
      <c r="N23" s="148"/>
      <c r="O23" s="154"/>
      <c r="P23" s="157"/>
      <c r="Q23" s="157"/>
      <c r="R23" s="157"/>
      <c r="S23" s="157"/>
      <c r="T23" s="157"/>
    </row>
    <row r="24" spans="1:20" s="8" customFormat="1" ht="15" customHeight="1" x14ac:dyDescent="0.25">
      <c r="A24" s="155" t="s">
        <v>20</v>
      </c>
      <c r="B24" s="156"/>
      <c r="C24" s="156"/>
      <c r="D24" s="156"/>
      <c r="E24" s="22" t="s">
        <v>3</v>
      </c>
      <c r="F24" s="148" t="s">
        <v>97</v>
      </c>
      <c r="G24" s="148"/>
      <c r="H24" s="148"/>
      <c r="I24" s="148"/>
      <c r="J24" s="148"/>
      <c r="K24" s="148"/>
      <c r="L24" s="148"/>
      <c r="M24" s="148"/>
      <c r="N24" s="148"/>
      <c r="O24" s="154"/>
      <c r="P24" s="157"/>
      <c r="Q24" s="157"/>
      <c r="R24" s="157"/>
      <c r="S24" s="157"/>
      <c r="T24" s="157"/>
    </row>
    <row r="25" spans="1:20" s="8" customFormat="1" ht="15" customHeight="1" x14ac:dyDescent="0.25">
      <c r="A25" s="147" t="s">
        <v>21</v>
      </c>
      <c r="B25" s="148"/>
      <c r="C25" s="148"/>
      <c r="D25" s="148"/>
      <c r="E25" s="22" t="s">
        <v>3</v>
      </c>
      <c r="F25" s="148" t="s">
        <v>70</v>
      </c>
      <c r="G25" s="148"/>
      <c r="H25" s="148"/>
      <c r="I25" s="148"/>
      <c r="J25" s="148"/>
      <c r="K25" s="148"/>
      <c r="L25" s="148"/>
      <c r="M25" s="148"/>
      <c r="N25" s="148"/>
      <c r="O25" s="154"/>
      <c r="Q25" s="6"/>
      <c r="R25" s="6"/>
      <c r="S25" s="6"/>
      <c r="T25" s="6"/>
    </row>
    <row r="26" spans="1:20" s="8" customFormat="1" ht="12" customHeight="1" x14ac:dyDescent="0.25">
      <c r="A26" s="20" t="s">
        <v>22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17"/>
      <c r="M26" s="17"/>
      <c r="N26" s="17"/>
      <c r="O26" s="17"/>
      <c r="Q26" s="6"/>
      <c r="R26" s="6"/>
      <c r="S26" s="6"/>
      <c r="T26" s="6"/>
    </row>
    <row r="27" spans="1:20" x14ac:dyDescent="0.3">
      <c r="A27" s="11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20" s="9" customFormat="1" ht="34.200000000000003" x14ac:dyDescent="0.2">
      <c r="A28" s="50" t="s">
        <v>29</v>
      </c>
      <c r="B28" s="50" t="s">
        <v>30</v>
      </c>
      <c r="C28" s="158" t="s">
        <v>24</v>
      </c>
      <c r="D28" s="158"/>
      <c r="E28" s="158"/>
      <c r="F28" s="158"/>
      <c r="G28" s="158"/>
      <c r="H28" s="158"/>
      <c r="I28" s="158"/>
      <c r="J28" s="158"/>
      <c r="K28" s="50" t="s">
        <v>46</v>
      </c>
      <c r="L28" s="50" t="s">
        <v>25</v>
      </c>
      <c r="M28" s="50" t="s">
        <v>31</v>
      </c>
      <c r="N28" s="50" t="s">
        <v>32</v>
      </c>
      <c r="O28" s="50" t="s">
        <v>33</v>
      </c>
      <c r="P28" s="5"/>
      <c r="Q28" s="5"/>
    </row>
    <row r="29" spans="1:20" ht="14.1" customHeight="1" x14ac:dyDescent="0.3">
      <c r="A29" s="149"/>
      <c r="B29" s="151"/>
      <c r="C29" s="49"/>
      <c r="D29" s="49"/>
      <c r="E29" s="49"/>
      <c r="F29" s="49"/>
      <c r="G29" s="49"/>
      <c r="H29" s="49"/>
      <c r="I29" s="49"/>
      <c r="J29" s="49"/>
      <c r="K29" s="153"/>
      <c r="L29" s="146"/>
      <c r="M29" s="145"/>
      <c r="N29" s="145"/>
      <c r="O29" s="159"/>
      <c r="P29" s="10"/>
      <c r="Q29" s="10"/>
    </row>
    <row r="30" spans="1:20" ht="14.1" customHeight="1" x14ac:dyDescent="0.3">
      <c r="A30" s="150"/>
      <c r="B30" s="152"/>
      <c r="C30" s="49"/>
      <c r="D30" s="49"/>
      <c r="E30" s="49"/>
      <c r="F30" s="49"/>
      <c r="G30" s="49"/>
      <c r="H30" s="49"/>
      <c r="I30" s="49"/>
      <c r="J30" s="49"/>
      <c r="K30" s="153"/>
      <c r="L30" s="146"/>
      <c r="M30" s="145"/>
      <c r="N30" s="145"/>
      <c r="O30" s="159"/>
      <c r="P30" s="10"/>
      <c r="Q30" s="3"/>
    </row>
    <row r="31" spans="1:20" ht="14.1" customHeight="1" x14ac:dyDescent="0.3">
      <c r="A31" s="149"/>
      <c r="B31" s="151"/>
      <c r="C31" s="49"/>
      <c r="D31" s="49"/>
      <c r="E31" s="49"/>
      <c r="F31" s="49"/>
      <c r="G31" s="49"/>
      <c r="H31" s="49"/>
      <c r="I31" s="49"/>
      <c r="J31" s="49"/>
      <c r="K31" s="153"/>
      <c r="L31" s="146"/>
      <c r="M31" s="145"/>
      <c r="N31" s="145"/>
      <c r="O31" s="146"/>
      <c r="P31" s="10"/>
      <c r="Q31" s="10"/>
    </row>
    <row r="32" spans="1:20" ht="14.1" customHeight="1" x14ac:dyDescent="0.3">
      <c r="A32" s="150"/>
      <c r="B32" s="152"/>
      <c r="C32" s="49"/>
      <c r="D32" s="49"/>
      <c r="E32" s="49"/>
      <c r="F32" s="49"/>
      <c r="G32" s="49"/>
      <c r="H32" s="49"/>
      <c r="I32" s="49"/>
      <c r="J32" s="49"/>
      <c r="K32" s="153"/>
      <c r="L32" s="146"/>
      <c r="M32" s="145"/>
      <c r="N32" s="145"/>
      <c r="O32" s="146"/>
      <c r="P32" s="10"/>
      <c r="Q32" s="3"/>
    </row>
    <row r="33" spans="1:17" ht="14.1" customHeight="1" x14ac:dyDescent="0.3">
      <c r="A33" s="149"/>
      <c r="B33" s="151"/>
      <c r="C33" s="49"/>
      <c r="D33" s="49"/>
      <c r="E33" s="49"/>
      <c r="F33" s="49"/>
      <c r="G33" s="49"/>
      <c r="H33" s="49"/>
      <c r="I33" s="49"/>
      <c r="J33" s="49"/>
      <c r="K33" s="153"/>
      <c r="L33" s="146"/>
      <c r="M33" s="145"/>
      <c r="N33" s="145"/>
      <c r="O33" s="146"/>
      <c r="P33" s="10"/>
      <c r="Q33" s="10"/>
    </row>
    <row r="34" spans="1:17" ht="14.1" customHeight="1" x14ac:dyDescent="0.3">
      <c r="A34" s="150"/>
      <c r="B34" s="152"/>
      <c r="C34" s="49"/>
      <c r="D34" s="49"/>
      <c r="E34" s="49"/>
      <c r="F34" s="49"/>
      <c r="G34" s="49"/>
      <c r="H34" s="49"/>
      <c r="I34" s="49"/>
      <c r="J34" s="49"/>
      <c r="K34" s="153"/>
      <c r="L34" s="146"/>
      <c r="M34" s="145"/>
      <c r="N34" s="145"/>
      <c r="O34" s="146"/>
      <c r="P34" s="10"/>
      <c r="Q34" s="3"/>
    </row>
    <row r="35" spans="1:17" ht="14.1" customHeight="1" x14ac:dyDescent="0.3">
      <c r="A35" s="149"/>
      <c r="B35" s="151"/>
      <c r="C35" s="49"/>
      <c r="D35" s="49"/>
      <c r="E35" s="49"/>
      <c r="F35" s="49"/>
      <c r="G35" s="49"/>
      <c r="H35" s="49"/>
      <c r="I35" s="49"/>
      <c r="J35" s="49"/>
      <c r="K35" s="153"/>
      <c r="L35" s="146"/>
      <c r="M35" s="145"/>
      <c r="N35" s="145"/>
      <c r="O35" s="146"/>
      <c r="P35" s="10"/>
      <c r="Q35" s="10"/>
    </row>
    <row r="36" spans="1:17" ht="14.1" customHeight="1" x14ac:dyDescent="0.3">
      <c r="A36" s="150"/>
      <c r="B36" s="152"/>
      <c r="C36" s="49"/>
      <c r="D36" s="49"/>
      <c r="E36" s="49"/>
      <c r="F36" s="49"/>
      <c r="G36" s="49"/>
      <c r="H36" s="49"/>
      <c r="I36" s="49"/>
      <c r="J36" s="49"/>
      <c r="K36" s="153"/>
      <c r="L36" s="146"/>
      <c r="M36" s="145"/>
      <c r="N36" s="145"/>
      <c r="O36" s="146"/>
      <c r="P36" s="10"/>
      <c r="Q36" s="3"/>
    </row>
    <row r="37" spans="1:17" ht="14.1" customHeight="1" x14ac:dyDescent="0.3">
      <c r="A37" s="149"/>
      <c r="B37" s="151"/>
      <c r="C37" s="49"/>
      <c r="D37" s="49"/>
      <c r="E37" s="49"/>
      <c r="F37" s="49"/>
      <c r="G37" s="49"/>
      <c r="H37" s="49"/>
      <c r="I37" s="49"/>
      <c r="J37" s="49"/>
      <c r="K37" s="153"/>
      <c r="L37" s="146"/>
      <c r="M37" s="145"/>
      <c r="N37" s="145"/>
      <c r="O37" s="146"/>
      <c r="P37" s="10"/>
      <c r="Q37" s="10"/>
    </row>
    <row r="38" spans="1:17" ht="14.1" customHeight="1" x14ac:dyDescent="0.3">
      <c r="A38" s="150"/>
      <c r="B38" s="152"/>
      <c r="C38" s="49"/>
      <c r="D38" s="49"/>
      <c r="E38" s="49"/>
      <c r="F38" s="49"/>
      <c r="G38" s="49"/>
      <c r="H38" s="49"/>
      <c r="I38" s="49"/>
      <c r="J38" s="49"/>
      <c r="K38" s="153"/>
      <c r="L38" s="146"/>
      <c r="M38" s="145"/>
      <c r="N38" s="145"/>
      <c r="O38" s="146"/>
      <c r="P38" s="10"/>
      <c r="Q38" s="3"/>
    </row>
    <row r="39" spans="1:17" ht="14.1" customHeight="1" x14ac:dyDescent="0.3">
      <c r="A39" s="149"/>
      <c r="B39" s="151"/>
      <c r="C39" s="49"/>
      <c r="D39" s="49"/>
      <c r="E39" s="49"/>
      <c r="F39" s="49"/>
      <c r="G39" s="49"/>
      <c r="H39" s="49"/>
      <c r="I39" s="49"/>
      <c r="J39" s="49"/>
      <c r="K39" s="153"/>
      <c r="L39" s="146"/>
      <c r="M39" s="145"/>
      <c r="N39" s="145"/>
      <c r="O39" s="146"/>
      <c r="P39" s="10"/>
      <c r="Q39" s="10"/>
    </row>
    <row r="40" spans="1:17" ht="14.1" customHeight="1" x14ac:dyDescent="0.3">
      <c r="A40" s="150"/>
      <c r="B40" s="152"/>
      <c r="C40" s="49"/>
      <c r="D40" s="49"/>
      <c r="E40" s="49"/>
      <c r="F40" s="49"/>
      <c r="G40" s="49"/>
      <c r="H40" s="49"/>
      <c r="I40" s="49"/>
      <c r="J40" s="49"/>
      <c r="K40" s="153"/>
      <c r="L40" s="146"/>
      <c r="M40" s="145"/>
      <c r="N40" s="145"/>
      <c r="O40" s="146"/>
      <c r="P40" s="10"/>
      <c r="Q40" s="3"/>
    </row>
    <row r="41" spans="1:17" ht="14.1" customHeight="1" x14ac:dyDescent="0.3">
      <c r="A41" s="149"/>
      <c r="B41" s="151"/>
      <c r="C41" s="49"/>
      <c r="D41" s="49"/>
      <c r="E41" s="49"/>
      <c r="F41" s="49"/>
      <c r="G41" s="49"/>
      <c r="H41" s="49"/>
      <c r="I41" s="49"/>
      <c r="J41" s="49"/>
      <c r="K41" s="153"/>
      <c r="L41" s="146"/>
      <c r="M41" s="145"/>
      <c r="N41" s="145"/>
      <c r="O41" s="146"/>
      <c r="P41" s="10"/>
      <c r="Q41" s="10"/>
    </row>
    <row r="42" spans="1:17" ht="14.1" customHeight="1" x14ac:dyDescent="0.3">
      <c r="A42" s="150"/>
      <c r="B42" s="152"/>
      <c r="C42" s="49"/>
      <c r="D42" s="49"/>
      <c r="E42" s="49"/>
      <c r="F42" s="49"/>
      <c r="G42" s="49"/>
      <c r="H42" s="49"/>
      <c r="I42" s="49"/>
      <c r="J42" s="49"/>
      <c r="K42" s="153"/>
      <c r="L42" s="146"/>
      <c r="M42" s="145"/>
      <c r="N42" s="145"/>
      <c r="O42" s="146"/>
      <c r="P42" s="10"/>
      <c r="Q42" s="3"/>
    </row>
    <row r="43" spans="1:17" ht="14.1" customHeight="1" x14ac:dyDescent="0.3">
      <c r="A43" s="149"/>
      <c r="B43" s="151"/>
      <c r="C43" s="49"/>
      <c r="D43" s="49"/>
      <c r="E43" s="49"/>
      <c r="F43" s="49"/>
      <c r="G43" s="49"/>
      <c r="H43" s="49"/>
      <c r="I43" s="49"/>
      <c r="J43" s="49"/>
      <c r="K43" s="153"/>
      <c r="L43" s="146"/>
      <c r="M43" s="145"/>
      <c r="N43" s="145"/>
      <c r="O43" s="146"/>
      <c r="P43" s="10"/>
      <c r="Q43" s="10"/>
    </row>
    <row r="44" spans="1:17" ht="14.1" customHeight="1" x14ac:dyDescent="0.3">
      <c r="A44" s="150"/>
      <c r="B44" s="152"/>
      <c r="C44" s="49"/>
      <c r="D44" s="49"/>
      <c r="E44" s="49"/>
      <c r="F44" s="49"/>
      <c r="G44" s="49"/>
      <c r="H44" s="49"/>
      <c r="I44" s="49"/>
      <c r="J44" s="49"/>
      <c r="K44" s="153"/>
      <c r="L44" s="146"/>
      <c r="M44" s="145"/>
      <c r="N44" s="145"/>
      <c r="O44" s="146"/>
      <c r="P44" s="10"/>
      <c r="Q44" s="3"/>
    </row>
    <row r="45" spans="1:17" ht="12" customHeight="1" x14ac:dyDescent="0.3">
      <c r="A45" s="20" t="s">
        <v>78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7" ht="12" customHeight="1" x14ac:dyDescent="0.3">
      <c r="A46" s="21" t="s">
        <v>38</v>
      </c>
      <c r="B46" s="18"/>
      <c r="C46" s="19" t="s">
        <v>3</v>
      </c>
      <c r="D46" s="13" t="s">
        <v>104</v>
      </c>
      <c r="E46" s="18"/>
      <c r="F46" s="18"/>
      <c r="G46" s="18"/>
      <c r="H46" s="18"/>
      <c r="I46" s="18"/>
      <c r="J46" s="10"/>
      <c r="K46" s="10"/>
      <c r="L46" s="10"/>
      <c r="M46" s="10"/>
      <c r="N46" s="10"/>
      <c r="O46" s="10"/>
      <c r="P46" s="10"/>
    </row>
    <row r="47" spans="1:17" ht="12" customHeight="1" x14ac:dyDescent="0.3">
      <c r="A47" s="21" t="s">
        <v>66</v>
      </c>
      <c r="B47" s="12"/>
      <c r="C47" s="19" t="s">
        <v>3</v>
      </c>
      <c r="D47" s="13" t="s">
        <v>47</v>
      </c>
      <c r="E47" s="12"/>
      <c r="F47" s="12"/>
      <c r="G47" s="12"/>
      <c r="H47" s="12"/>
      <c r="I47" s="12"/>
    </row>
    <row r="48" spans="1:17" s="21" customFormat="1" ht="10.199999999999999" x14ac:dyDescent="0.3">
      <c r="A48" s="21" t="s">
        <v>74</v>
      </c>
      <c r="C48" s="21" t="s">
        <v>3</v>
      </c>
    </row>
    <row r="49" spans="1:1" ht="9.9" customHeight="1" x14ac:dyDescent="0.3"/>
    <row r="50" spans="1:1" ht="11.1" customHeight="1" x14ac:dyDescent="0.3">
      <c r="A50" s="33" t="s">
        <v>71</v>
      </c>
    </row>
    <row r="51" spans="1:1" ht="11.1" customHeight="1" x14ac:dyDescent="0.3">
      <c r="A51" s="34" t="s">
        <v>72</v>
      </c>
    </row>
    <row r="52" spans="1:1" ht="11.1" customHeight="1" x14ac:dyDescent="0.3">
      <c r="A52" s="35" t="s">
        <v>73</v>
      </c>
    </row>
  </sheetData>
  <mergeCells count="97">
    <mergeCell ref="O41:O42"/>
    <mergeCell ref="A43:A44"/>
    <mergeCell ref="B43:B44"/>
    <mergeCell ref="K43:K44"/>
    <mergeCell ref="L43:L44"/>
    <mergeCell ref="M43:M44"/>
    <mergeCell ref="N43:N44"/>
    <mergeCell ref="O43:O44"/>
    <mergeCell ref="A41:A42"/>
    <mergeCell ref="B41:B42"/>
    <mergeCell ref="K41:K42"/>
    <mergeCell ref="L41:L42"/>
    <mergeCell ref="M41:M42"/>
    <mergeCell ref="N41:N42"/>
    <mergeCell ref="O37:O38"/>
    <mergeCell ref="A39:A40"/>
    <mergeCell ref="B39:B40"/>
    <mergeCell ref="K39:K40"/>
    <mergeCell ref="L39:L40"/>
    <mergeCell ref="M39:M40"/>
    <mergeCell ref="N39:N40"/>
    <mergeCell ref="O39:O40"/>
    <mergeCell ref="A37:A38"/>
    <mergeCell ref="B37:B38"/>
    <mergeCell ref="K37:K38"/>
    <mergeCell ref="L37:L38"/>
    <mergeCell ref="M37:M38"/>
    <mergeCell ref="N37:N38"/>
    <mergeCell ref="O33:O34"/>
    <mergeCell ref="A35:A36"/>
    <mergeCell ref="B35:B36"/>
    <mergeCell ref="K35:K36"/>
    <mergeCell ref="L35:L36"/>
    <mergeCell ref="M35:M36"/>
    <mergeCell ref="N35:N36"/>
    <mergeCell ref="O35:O36"/>
    <mergeCell ref="A33:A34"/>
    <mergeCell ref="B33:B34"/>
    <mergeCell ref="K33:K34"/>
    <mergeCell ref="L33:L34"/>
    <mergeCell ref="M33:M34"/>
    <mergeCell ref="N33:N34"/>
    <mergeCell ref="F25:O25"/>
    <mergeCell ref="C28:J28"/>
    <mergeCell ref="A29:A30"/>
    <mergeCell ref="B29:B30"/>
    <mergeCell ref="K29:K30"/>
    <mergeCell ref="L29:L30"/>
    <mergeCell ref="M29:M30"/>
    <mergeCell ref="N29:N30"/>
    <mergeCell ref="O29:O30"/>
    <mergeCell ref="A23:D23"/>
    <mergeCell ref="F23:O23"/>
    <mergeCell ref="P23:T23"/>
    <mergeCell ref="A24:D24"/>
    <mergeCell ref="F24:O24"/>
    <mergeCell ref="P24:T24"/>
    <mergeCell ref="A20:D20"/>
    <mergeCell ref="F20:O20"/>
    <mergeCell ref="A21:D21"/>
    <mergeCell ref="F21:O21"/>
    <mergeCell ref="A22:D22"/>
    <mergeCell ref="F22:O22"/>
    <mergeCell ref="A17:D17"/>
    <mergeCell ref="F17:O17"/>
    <mergeCell ref="A18:D18"/>
    <mergeCell ref="F18:O18"/>
    <mergeCell ref="A19:D19"/>
    <mergeCell ref="F19:O19"/>
    <mergeCell ref="N31:N32"/>
    <mergeCell ref="O31:O32"/>
    <mergeCell ref="A25:D25"/>
    <mergeCell ref="N12:O12"/>
    <mergeCell ref="N13:O13"/>
    <mergeCell ref="A31:A32"/>
    <mergeCell ref="B31:B32"/>
    <mergeCell ref="K31:K32"/>
    <mergeCell ref="L31:L32"/>
    <mergeCell ref="M31:M32"/>
    <mergeCell ref="E12:L12"/>
    <mergeCell ref="E13:L13"/>
    <mergeCell ref="A15:D15"/>
    <mergeCell ref="F15:O15"/>
    <mergeCell ref="A16:D16"/>
    <mergeCell ref="F16:O16"/>
    <mergeCell ref="N9:O9"/>
    <mergeCell ref="N10:O10"/>
    <mergeCell ref="E11:K11"/>
    <mergeCell ref="N11:O11"/>
    <mergeCell ref="E9:L9"/>
    <mergeCell ref="E10:L10"/>
    <mergeCell ref="A4:O4"/>
    <mergeCell ref="A5:O5"/>
    <mergeCell ref="N7:O7"/>
    <mergeCell ref="N8:O8"/>
    <mergeCell ref="E7:L7"/>
    <mergeCell ref="E8:L8"/>
  </mergeCells>
  <pageMargins left="0.5" right="0.3" top="0.35" bottom="0.3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Report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2026-01-09T04:43:10Z</dcterms:modified>
</cp:coreProperties>
</file>